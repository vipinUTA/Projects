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vipin84260_exlservice_com/Documents/"/>
    </mc:Choice>
  </mc:AlternateContent>
  <xr:revisionPtr revIDLastSave="15" documentId="8_{1284F434-5F21-4E1D-8B2B-A43DA8EB44EF}" xr6:coauthVersionLast="47" xr6:coauthVersionMax="47" xr10:uidLastSave="{74A70D4A-7A7A-4B80-844B-026D77A7D6B9}"/>
  <bookViews>
    <workbookView xWindow="-110" yWindow="-110" windowWidth="19420" windowHeight="11500" xr2:uid="{0C28AA50-B0FA-4F90-8ED5-1C9A427BF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L24" i="1"/>
  <c r="L23" i="1"/>
  <c r="L22" i="1"/>
  <c r="L21" i="1"/>
  <c r="M21" i="1" s="1"/>
  <c r="M26" i="1"/>
  <c r="M25" i="1"/>
  <c r="M24" i="1"/>
  <c r="M23" i="1"/>
  <c r="M22" i="1"/>
  <c r="K7" i="1"/>
  <c r="M7" i="1" s="1"/>
  <c r="K8" i="1"/>
  <c r="M8" i="1" s="1"/>
  <c r="K6" i="1"/>
  <c r="M6" i="1" s="1"/>
  <c r="K5" i="1"/>
  <c r="K3" i="1"/>
  <c r="M3" i="1" s="1"/>
  <c r="M5" i="1" l="1"/>
  <c r="K4" i="1"/>
  <c r="M4" i="1" s="1"/>
  <c r="H15" i="1"/>
  <c r="H16" i="1" s="1"/>
  <c r="I13" i="1"/>
  <c r="I14" i="1" s="1"/>
  <c r="I15" i="1" s="1"/>
  <c r="I16" i="1" l="1"/>
  <c r="I17" i="1" s="1"/>
</calcChain>
</file>

<file path=xl/sharedStrings.xml><?xml version="1.0" encoding="utf-8"?>
<sst xmlns="http://schemas.openxmlformats.org/spreadsheetml/2006/main" count="112" uniqueCount="31">
  <si>
    <t>Area</t>
  </si>
  <si>
    <t>Lead</t>
  </si>
  <si>
    <t>Type</t>
  </si>
  <si>
    <t>Position Type</t>
  </si>
  <si>
    <t>Skillset</t>
  </si>
  <si>
    <t>Tentative Start Date</t>
  </si>
  <si>
    <t># positions</t>
  </si>
  <si>
    <t>Candidate in consideration</t>
  </si>
  <si>
    <t>Hourly Rate</t>
  </si>
  <si>
    <t>Salary</t>
  </si>
  <si>
    <t>2025 Duration</t>
  </si>
  <si>
    <t>Expected 2025 Revenue</t>
  </si>
  <si>
    <t>%salary of revenue</t>
  </si>
  <si>
    <t>Status</t>
  </si>
  <si>
    <t>Annuity</t>
  </si>
  <si>
    <t>New</t>
  </si>
  <si>
    <t>DE</t>
  </si>
  <si>
    <t>Nathan -Onshore</t>
  </si>
  <si>
    <t>Vipin</t>
  </si>
  <si>
    <t>Nathan-Offshore</t>
  </si>
  <si>
    <t>Already filled (Rudra)</t>
  </si>
  <si>
    <t>Already filled (Sahith)</t>
  </si>
  <si>
    <t>Already filled (Nitesh)</t>
  </si>
  <si>
    <t xml:space="preserve">Interviews in progress </t>
  </si>
  <si>
    <t>Onboarded</t>
  </si>
  <si>
    <t>Already Filled (Snehil)</t>
  </si>
  <si>
    <t>Hiring Offshore</t>
  </si>
  <si>
    <t>Hiring Oshore AbInitio</t>
  </si>
  <si>
    <t>Internal Candidate Selected</t>
  </si>
  <si>
    <t>2026 Duration</t>
  </si>
  <si>
    <t>Expected 2026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</si>
</sst>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2.5"/>
      <color rgb="FF000000"/>
      <name val="CVS Health Sans Medium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8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4" fontId="4" fillId="0" borderId="0" xfId="0" applyNumberFormat="1" applyFont="1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1" xfId="1" applyNumberFormat="1" applyFont="1" applyFill="1" applyBorder="1" applyAlignment="1">
      <alignment horizontal="left" vertical="center"/>
    </xf>
    <xf numFmtId="8" fontId="0" fillId="0" borderId="1" xfId="0" applyNumberForma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235A-13FB-43F8-AA68-F470E298F1A1}">
  <dimension ref="A1:N26"/>
  <sheetViews>
    <sheetView tabSelected="1" workbookViewId="0"/>
  </sheetViews>
  <sheetFormatPr defaultRowHeight="14.5"/>
  <cols>
    <col min="1" max="1" width="20.08984375" style="2" bestFit="1" customWidth="1"/>
    <col min="2" max="2" width="11.81640625" style="2" customWidth="1"/>
    <col min="3" max="3" width="13.26953125" style="2" customWidth="1"/>
    <col min="4" max="4" width="22.26953125" style="2" bestFit="1" customWidth="1"/>
    <col min="5" max="5" width="16.08984375" style="2" bestFit="1" customWidth="1"/>
    <col min="6" max="6" width="12.1796875" style="2" bestFit="1" customWidth="1"/>
    <col min="7" max="7" width="12.36328125" style="2" customWidth="1"/>
    <col min="8" max="8" width="25.6328125" style="2" bestFit="1" customWidth="1"/>
    <col min="9" max="10" width="14.36328125" style="2" customWidth="1"/>
    <col min="11" max="11" width="12.453125" style="2" customWidth="1"/>
    <col min="12" max="12" width="14.7265625" style="2" customWidth="1"/>
    <col min="13" max="13" width="14.453125" style="2" customWidth="1"/>
    <col min="14" max="14" width="18.7265625" style="2" bestFit="1" customWidth="1"/>
    <col min="15" max="16384" width="8.7265625" style="2"/>
  </cols>
  <sheetData>
    <row r="1" spans="1:14">
      <c r="A1" s="13">
        <v>2025</v>
      </c>
    </row>
    <row r="2" spans="1:14" ht="5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6" t="s">
        <v>17</v>
      </c>
      <c r="B3" s="4" t="s">
        <v>18</v>
      </c>
      <c r="C3" s="3" t="s">
        <v>14</v>
      </c>
      <c r="D3" s="4" t="s">
        <v>15</v>
      </c>
      <c r="E3" s="3" t="s">
        <v>16</v>
      </c>
      <c r="F3" s="7">
        <v>45860</v>
      </c>
      <c r="G3" s="3">
        <v>1</v>
      </c>
      <c r="H3" s="3" t="s">
        <v>20</v>
      </c>
      <c r="I3" s="5">
        <v>102.89</v>
      </c>
      <c r="J3" s="5">
        <v>100000</v>
      </c>
      <c r="K3" s="5">
        <f>J3/12*8</f>
        <v>66666.666666666672</v>
      </c>
      <c r="L3" s="5">
        <v>135917.69</v>
      </c>
      <c r="M3" s="11">
        <f t="shared" ref="M3:M8" si="0">K3/L3*100</f>
        <v>49.049293485393015</v>
      </c>
      <c r="N3" s="4" t="s">
        <v>24</v>
      </c>
    </row>
    <row r="4" spans="1:14">
      <c r="A4" s="6" t="s">
        <v>17</v>
      </c>
      <c r="B4" s="4" t="s">
        <v>18</v>
      </c>
      <c r="C4" s="3" t="s">
        <v>14</v>
      </c>
      <c r="D4" s="4" t="s">
        <v>15</v>
      </c>
      <c r="E4" s="3" t="s">
        <v>16</v>
      </c>
      <c r="F4" s="7">
        <v>45860</v>
      </c>
      <c r="G4" s="3">
        <v>1</v>
      </c>
      <c r="H4" s="3" t="s">
        <v>21</v>
      </c>
      <c r="I4" s="5">
        <v>102.89</v>
      </c>
      <c r="J4" s="5">
        <v>88634</v>
      </c>
      <c r="K4" s="5">
        <f>J4/12*8</f>
        <v>59089.333333333336</v>
      </c>
      <c r="L4" s="5">
        <v>135917.69</v>
      </c>
      <c r="M4" s="11">
        <f t="shared" si="0"/>
        <v>43.474350787843242</v>
      </c>
      <c r="N4" s="4" t="s">
        <v>24</v>
      </c>
    </row>
    <row r="5" spans="1:14">
      <c r="A5" s="6" t="s">
        <v>19</v>
      </c>
      <c r="B5" s="4" t="s">
        <v>18</v>
      </c>
      <c r="C5" s="3" t="s">
        <v>14</v>
      </c>
      <c r="D5" s="4" t="s">
        <v>15</v>
      </c>
      <c r="E5" s="3" t="s">
        <v>16</v>
      </c>
      <c r="F5" s="7">
        <v>45845</v>
      </c>
      <c r="G5" s="3">
        <v>1</v>
      </c>
      <c r="H5" s="3" t="s">
        <v>22</v>
      </c>
      <c r="I5" s="12">
        <v>31.77</v>
      </c>
      <c r="J5" s="5">
        <v>12941</v>
      </c>
      <c r="K5" s="12">
        <f>J5/12*6</f>
        <v>6470.5</v>
      </c>
      <c r="L5" s="5">
        <v>31293.45</v>
      </c>
      <c r="M5" s="11">
        <f t="shared" si="0"/>
        <v>20.676850906499602</v>
      </c>
      <c r="N5" s="4" t="s">
        <v>24</v>
      </c>
    </row>
    <row r="6" spans="1:14">
      <c r="A6" s="6" t="s">
        <v>19</v>
      </c>
      <c r="B6" s="4" t="s">
        <v>18</v>
      </c>
      <c r="C6" s="3" t="s">
        <v>14</v>
      </c>
      <c r="D6" s="4" t="s">
        <v>15</v>
      </c>
      <c r="E6" s="3" t="s">
        <v>16</v>
      </c>
      <c r="F6" s="7">
        <v>45853</v>
      </c>
      <c r="G6" s="3">
        <v>1</v>
      </c>
      <c r="H6" s="4" t="s">
        <v>25</v>
      </c>
      <c r="I6" s="12">
        <v>31.77</v>
      </c>
      <c r="J6" s="5">
        <v>15882.35294117647</v>
      </c>
      <c r="K6" s="12">
        <f>J6/12*5</f>
        <v>6617.6470588235297</v>
      </c>
      <c r="L6" s="5">
        <v>29514.329999999998</v>
      </c>
      <c r="M6" s="11">
        <f t="shared" si="0"/>
        <v>22.421810214982113</v>
      </c>
      <c r="N6" s="4" t="s">
        <v>24</v>
      </c>
    </row>
    <row r="7" spans="1:14">
      <c r="A7" s="6" t="s">
        <v>19</v>
      </c>
      <c r="B7" s="4" t="s">
        <v>18</v>
      </c>
      <c r="C7" s="3" t="s">
        <v>14</v>
      </c>
      <c r="D7" s="4" t="s">
        <v>15</v>
      </c>
      <c r="E7" s="3" t="s">
        <v>16</v>
      </c>
      <c r="F7" s="7">
        <v>45884</v>
      </c>
      <c r="G7" s="3">
        <v>1</v>
      </c>
      <c r="H7" s="4" t="s">
        <v>26</v>
      </c>
      <c r="I7" s="12">
        <v>38.64</v>
      </c>
      <c r="J7" s="5">
        <v>23529</v>
      </c>
      <c r="K7" s="12">
        <f>J7/12*4.5</f>
        <v>8823.375</v>
      </c>
      <c r="L7" s="5">
        <v>32000</v>
      </c>
      <c r="M7" s="11">
        <f t="shared" si="0"/>
        <v>27.573046875000003</v>
      </c>
      <c r="N7" s="4" t="s">
        <v>23</v>
      </c>
    </row>
    <row r="8" spans="1:14">
      <c r="A8" s="6" t="s">
        <v>19</v>
      </c>
      <c r="B8" s="4" t="s">
        <v>18</v>
      </c>
      <c r="C8" s="3" t="s">
        <v>14</v>
      </c>
      <c r="D8" s="4" t="s">
        <v>15</v>
      </c>
      <c r="E8" s="3" t="s">
        <v>16</v>
      </c>
      <c r="F8" s="7">
        <v>45884</v>
      </c>
      <c r="G8" s="3">
        <v>1</v>
      </c>
      <c r="H8" s="4" t="s">
        <v>27</v>
      </c>
      <c r="I8" s="12">
        <v>148.61000000000001</v>
      </c>
      <c r="J8" s="5">
        <v>117000</v>
      </c>
      <c r="K8" s="12">
        <f>J8/12*5</f>
        <v>48750</v>
      </c>
      <c r="L8" s="5">
        <v>133749</v>
      </c>
      <c r="M8" s="11">
        <f t="shared" si="0"/>
        <v>36.448870645761836</v>
      </c>
      <c r="N8" s="4" t="s">
        <v>28</v>
      </c>
    </row>
    <row r="11" spans="1:14" hidden="1"/>
    <row r="12" spans="1:14" ht="16" hidden="1">
      <c r="H12" s="2">
        <v>31.77</v>
      </c>
      <c r="I12" s="8">
        <v>34851.69</v>
      </c>
    </row>
    <row r="13" spans="1:14" hidden="1">
      <c r="H13" s="9">
        <v>45831</v>
      </c>
      <c r="I13" s="10">
        <f>I12/H12</f>
        <v>1097</v>
      </c>
    </row>
    <row r="14" spans="1:14" hidden="1">
      <c r="H14" s="9">
        <v>46022</v>
      </c>
      <c r="I14" s="2">
        <f>I13/8</f>
        <v>137.125</v>
      </c>
    </row>
    <row r="15" spans="1:14" hidden="1">
      <c r="H15" s="2">
        <f>NETWORKDAYS(H13,H14)</f>
        <v>138</v>
      </c>
      <c r="I15" s="2">
        <f>I14-21</f>
        <v>116.125</v>
      </c>
    </row>
    <row r="16" spans="1:14" hidden="1">
      <c r="H16" s="2">
        <f>H15*8</f>
        <v>1104</v>
      </c>
      <c r="I16" s="2">
        <f>I15*8</f>
        <v>929</v>
      </c>
    </row>
    <row r="17" spans="1:14" hidden="1">
      <c r="I17" s="2">
        <f>I16*H12</f>
        <v>29514.329999999998</v>
      </c>
    </row>
    <row r="18" spans="1:14" hidden="1"/>
    <row r="19" spans="1:14">
      <c r="A19" s="13">
        <v>2026</v>
      </c>
    </row>
    <row r="20" spans="1:14" ht="5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29</v>
      </c>
      <c r="L20" s="1" t="s">
        <v>30</v>
      </c>
      <c r="M20" s="1" t="s">
        <v>12</v>
      </c>
      <c r="N20" s="1" t="s">
        <v>13</v>
      </c>
    </row>
    <row r="21" spans="1:14">
      <c r="A21" s="6" t="s">
        <v>17</v>
      </c>
      <c r="B21" s="4" t="s">
        <v>18</v>
      </c>
      <c r="C21" s="3" t="s">
        <v>14</v>
      </c>
      <c r="D21" s="4" t="s">
        <v>15</v>
      </c>
      <c r="E21" s="3" t="s">
        <v>16</v>
      </c>
      <c r="F21" s="7">
        <v>46023</v>
      </c>
      <c r="G21" s="3">
        <v>1</v>
      </c>
      <c r="H21" s="3" t="s">
        <v>20</v>
      </c>
      <c r="I21" s="5">
        <v>102.89</v>
      </c>
      <c r="J21" s="5">
        <v>100000</v>
      </c>
      <c r="K21" s="5">
        <v>100000</v>
      </c>
      <c r="L21" s="5">
        <f>I21*2000</f>
        <v>205780</v>
      </c>
      <c r="M21" s="11">
        <f t="shared" ref="M21:M26" si="1">K21/L21*100</f>
        <v>48.595587520653126</v>
      </c>
      <c r="N21" s="4" t="s">
        <v>24</v>
      </c>
    </row>
    <row r="22" spans="1:14">
      <c r="A22" s="6" t="s">
        <v>17</v>
      </c>
      <c r="B22" s="4" t="s">
        <v>18</v>
      </c>
      <c r="C22" s="3" t="s">
        <v>14</v>
      </c>
      <c r="D22" s="4" t="s">
        <v>15</v>
      </c>
      <c r="E22" s="3" t="s">
        <v>16</v>
      </c>
      <c r="F22" s="7">
        <v>46023</v>
      </c>
      <c r="G22" s="3">
        <v>1</v>
      </c>
      <c r="H22" s="3" t="s">
        <v>21</v>
      </c>
      <c r="I22" s="5">
        <v>102.89</v>
      </c>
      <c r="J22" s="5">
        <v>88634</v>
      </c>
      <c r="K22" s="5">
        <v>88634</v>
      </c>
      <c r="L22" s="5">
        <f t="shared" ref="L22:L26" si="2">I22*2000</f>
        <v>205780</v>
      </c>
      <c r="M22" s="11">
        <f t="shared" si="1"/>
        <v>43.07221304305569</v>
      </c>
      <c r="N22" s="4" t="s">
        <v>24</v>
      </c>
    </row>
    <row r="23" spans="1:14">
      <c r="A23" s="6" t="s">
        <v>19</v>
      </c>
      <c r="B23" s="4" t="s">
        <v>18</v>
      </c>
      <c r="C23" s="3" t="s">
        <v>14</v>
      </c>
      <c r="D23" s="4" t="s">
        <v>15</v>
      </c>
      <c r="E23" s="3" t="s">
        <v>16</v>
      </c>
      <c r="F23" s="7">
        <v>46023</v>
      </c>
      <c r="G23" s="3">
        <v>1</v>
      </c>
      <c r="H23" s="3" t="s">
        <v>22</v>
      </c>
      <c r="I23" s="12">
        <v>31.77</v>
      </c>
      <c r="J23" s="5">
        <v>12941</v>
      </c>
      <c r="K23" s="12">
        <v>12941</v>
      </c>
      <c r="L23" s="5">
        <f t="shared" si="2"/>
        <v>63540</v>
      </c>
      <c r="M23" s="11">
        <f t="shared" si="1"/>
        <v>20.366698142902109</v>
      </c>
      <c r="N23" s="4" t="s">
        <v>24</v>
      </c>
    </row>
    <row r="24" spans="1:14">
      <c r="A24" s="6" t="s">
        <v>19</v>
      </c>
      <c r="B24" s="4" t="s">
        <v>18</v>
      </c>
      <c r="C24" s="3" t="s">
        <v>14</v>
      </c>
      <c r="D24" s="4" t="s">
        <v>15</v>
      </c>
      <c r="E24" s="3" t="s">
        <v>16</v>
      </c>
      <c r="F24" s="7">
        <v>46023</v>
      </c>
      <c r="G24" s="3">
        <v>1</v>
      </c>
      <c r="H24" s="4" t="s">
        <v>25</v>
      </c>
      <c r="I24" s="12">
        <v>31.77</v>
      </c>
      <c r="J24" s="5">
        <v>15882.35294117647</v>
      </c>
      <c r="K24" s="12">
        <v>15882.35294117647</v>
      </c>
      <c r="L24" s="5">
        <f t="shared" si="2"/>
        <v>63540</v>
      </c>
      <c r="M24" s="11">
        <f t="shared" si="1"/>
        <v>24.995834027662056</v>
      </c>
      <c r="N24" s="4" t="s">
        <v>24</v>
      </c>
    </row>
    <row r="25" spans="1:14">
      <c r="A25" s="6" t="s">
        <v>19</v>
      </c>
      <c r="B25" s="4" t="s">
        <v>18</v>
      </c>
      <c r="C25" s="3" t="s">
        <v>14</v>
      </c>
      <c r="D25" s="4" t="s">
        <v>15</v>
      </c>
      <c r="E25" s="3" t="s">
        <v>16</v>
      </c>
      <c r="F25" s="7">
        <v>46023</v>
      </c>
      <c r="G25" s="3">
        <v>1</v>
      </c>
      <c r="H25" s="4" t="s">
        <v>26</v>
      </c>
      <c r="I25" s="12">
        <v>38.64</v>
      </c>
      <c r="J25" s="5">
        <v>23529</v>
      </c>
      <c r="K25" s="12">
        <v>23529</v>
      </c>
      <c r="L25" s="5">
        <f t="shared" si="2"/>
        <v>77280</v>
      </c>
      <c r="M25" s="11">
        <f t="shared" si="1"/>
        <v>30.446428571428569</v>
      </c>
      <c r="N25" s="4" t="s">
        <v>23</v>
      </c>
    </row>
    <row r="26" spans="1:14">
      <c r="A26" s="6" t="s">
        <v>19</v>
      </c>
      <c r="B26" s="4" t="s">
        <v>18</v>
      </c>
      <c r="C26" s="3" t="s">
        <v>14</v>
      </c>
      <c r="D26" s="4" t="s">
        <v>15</v>
      </c>
      <c r="E26" s="3" t="s">
        <v>16</v>
      </c>
      <c r="F26" s="7">
        <v>46023</v>
      </c>
      <c r="G26" s="3">
        <v>1</v>
      </c>
      <c r="H26" s="4" t="s">
        <v>27</v>
      </c>
      <c r="I26" s="12">
        <v>148.61000000000001</v>
      </c>
      <c r="J26" s="5">
        <v>117000</v>
      </c>
      <c r="K26" s="12">
        <v>117000</v>
      </c>
      <c r="L26" s="5">
        <f t="shared" si="2"/>
        <v>297220</v>
      </c>
      <c r="M26" s="11">
        <f t="shared" si="1"/>
        <v>39.364780297422783</v>
      </c>
      <c r="N26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Dhirender Jain</dc:creator>
  <cp:lastModifiedBy>Vipin Choudhary</cp:lastModifiedBy>
  <dcterms:created xsi:type="dcterms:W3CDTF">2025-07-02T10:17:40Z</dcterms:created>
  <dcterms:modified xsi:type="dcterms:W3CDTF">2025-08-27T11:58:24Z</dcterms:modified>
</cp:coreProperties>
</file>