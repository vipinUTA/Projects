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in84260\Downloads\"/>
    </mc:Choice>
  </mc:AlternateContent>
  <xr:revisionPtr revIDLastSave="0" documentId="13_ncr:1_{F87CE528-DC35-4F1D-902A-753ED83EF77A}" xr6:coauthVersionLast="47" xr6:coauthVersionMax="47" xr10:uidLastSave="{00000000-0000-0000-0000-000000000000}"/>
  <bookViews>
    <workbookView xWindow="-110" yWindow="-110" windowWidth="19420" windowHeight="11500" firstSheet="1" activeTab="4" xr2:uid="{136E8DAF-A47C-4AF3-A075-62CCD2A02D7D}"/>
  </bookViews>
  <sheets>
    <sheet name="CutPoints" sheetId="1" r:id="rId1"/>
    <sheet name="Data for Analysis" sheetId="2" r:id="rId2"/>
    <sheet name="Synthetic" sheetId="6" r:id="rId3"/>
    <sheet name="Sheet1" sheetId="7" r:id="rId4"/>
    <sheet name="Stars Calculator" sheetId="3" r:id="rId5"/>
    <sheet name="HEI Calculation" sheetId="5" r:id="rId6"/>
    <sheet name="Thresholds" sheetId="4" r:id="rId7"/>
  </sheets>
  <definedNames>
    <definedName name="_xlnm._FilterDatabase" localSheetId="0" hidden="1">CutPoints!$A$2:$U$50</definedName>
    <definedName name="_xlnm._FilterDatabase" localSheetId="1" hidden="1">'Data for Analysis'!$A$1:$AF$47</definedName>
    <definedName name="_xlnm._FilterDatabase" localSheetId="4" hidden="1">'Stars Calculator'!$A$20:$I$65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3" l="1"/>
  <c r="V3" i="2"/>
  <c r="R4" i="2"/>
  <c r="T4" i="2"/>
  <c r="S4" i="2"/>
  <c r="U4" i="2"/>
  <c r="W4" i="2"/>
  <c r="Y4" i="2"/>
  <c r="Y5" i="2"/>
  <c r="Y9" i="2"/>
  <c r="U11" i="2"/>
  <c r="Y11" i="2"/>
  <c r="R12" i="2"/>
  <c r="T12" i="2"/>
  <c r="R13" i="2"/>
  <c r="T13" i="2"/>
  <c r="S13" i="2"/>
  <c r="U13" i="2"/>
  <c r="W13" i="2"/>
  <c r="Y13" i="2"/>
  <c r="R14" i="2"/>
  <c r="T14" i="2"/>
  <c r="U14" i="2"/>
  <c r="R15" i="2"/>
  <c r="V15" i="2"/>
  <c r="Y15" i="2"/>
  <c r="T16" i="2"/>
  <c r="R20" i="2"/>
  <c r="T20" i="2"/>
  <c r="U21" i="2"/>
  <c r="W21" i="2"/>
  <c r="R22" i="2"/>
  <c r="T22" i="2"/>
  <c r="R23" i="2"/>
  <c r="T23" i="2"/>
  <c r="S23" i="2"/>
  <c r="U23" i="2"/>
  <c r="W23" i="2"/>
  <c r="R39" i="2"/>
  <c r="T39" i="2"/>
  <c r="U39" i="2"/>
  <c r="Y39" i="2"/>
  <c r="Y40" i="2"/>
  <c r="R41" i="2"/>
  <c r="T41" i="2"/>
  <c r="Y41" i="2"/>
  <c r="Y42" i="2"/>
  <c r="R43" i="2"/>
  <c r="T43" i="2"/>
  <c r="T44" i="2"/>
  <c r="S44" i="2"/>
  <c r="U44" i="2"/>
  <c r="W44" i="2"/>
  <c r="Y44" i="2"/>
  <c r="S47" i="2"/>
  <c r="U47" i="2"/>
  <c r="AE19" i="2"/>
  <c r="AF19" i="2" s="1"/>
  <c r="AE18" i="2"/>
  <c r="AF18" i="2" s="1"/>
  <c r="AE17" i="2"/>
  <c r="AF17" i="2" s="1"/>
  <c r="AE8" i="2"/>
  <c r="AF8" i="2" s="1"/>
  <c r="AE7" i="2"/>
  <c r="AF7" i="2" s="1"/>
  <c r="AE6" i="2"/>
  <c r="AF6" i="2" s="1"/>
  <c r="B2" i="5"/>
  <c r="D2" i="5" s="1"/>
  <c r="E2" i="5" s="1"/>
  <c r="Y12" i="2"/>
  <c r="Y14" i="2"/>
  <c r="Y16" i="2"/>
  <c r="Y20" i="2"/>
  <c r="Y21" i="2"/>
  <c r="Y22" i="2"/>
  <c r="Y23" i="2"/>
  <c r="Y43" i="2"/>
  <c r="Y47" i="2"/>
  <c r="Y3" i="2"/>
  <c r="W47" i="2"/>
  <c r="W43" i="2"/>
  <c r="W42" i="2"/>
  <c r="V41" i="2"/>
  <c r="W40" i="2"/>
  <c r="V39" i="2"/>
  <c r="V22" i="2"/>
  <c r="W20" i="2"/>
  <c r="V16" i="2"/>
  <c r="W14" i="2"/>
  <c r="V12" i="2"/>
  <c r="V11" i="2"/>
  <c r="W10" i="2"/>
  <c r="V9" i="2"/>
  <c r="V5" i="2"/>
  <c r="U43" i="2"/>
  <c r="S43" i="2"/>
  <c r="U42" i="2"/>
  <c r="S42" i="2"/>
  <c r="U41" i="2"/>
  <c r="S41" i="2"/>
  <c r="U40" i="2"/>
  <c r="S40" i="2"/>
  <c r="S39" i="2"/>
  <c r="U22" i="2"/>
  <c r="S22" i="2"/>
  <c r="S21" i="2"/>
  <c r="U20" i="2"/>
  <c r="S20" i="2"/>
  <c r="U16" i="2"/>
  <c r="S16" i="2"/>
  <c r="U15" i="2"/>
  <c r="S15" i="2"/>
  <c r="S14" i="2"/>
  <c r="U12" i="2"/>
  <c r="S12" i="2"/>
  <c r="S11" i="2"/>
  <c r="U10" i="2"/>
  <c r="S10" i="2"/>
  <c r="U9" i="2"/>
  <c r="S9" i="2"/>
  <c r="U5" i="2"/>
  <c r="S5" i="2"/>
  <c r="U3" i="2"/>
  <c r="S3" i="2"/>
  <c r="R44" i="2"/>
  <c r="T42" i="2"/>
  <c r="R42" i="2"/>
  <c r="T40" i="2"/>
  <c r="R40" i="2"/>
  <c r="T21" i="2"/>
  <c r="R21" i="2"/>
  <c r="R19" i="2"/>
  <c r="R16" i="2"/>
  <c r="T15" i="2"/>
  <c r="T11" i="2"/>
  <c r="R11" i="2"/>
  <c r="T10" i="2"/>
  <c r="R10" i="2"/>
  <c r="T9" i="2"/>
  <c r="R9" i="2"/>
  <c r="T5" i="2"/>
  <c r="R5" i="2"/>
  <c r="T3" i="2"/>
  <c r="R3" i="2"/>
  <c r="T47" i="2"/>
  <c r="R47" i="2"/>
  <c r="R18" i="2"/>
  <c r="R17" i="2"/>
  <c r="R8" i="2"/>
  <c r="R7" i="2"/>
  <c r="R6" i="2"/>
  <c r="Y2" i="2"/>
  <c r="W2" i="2"/>
  <c r="V2" i="2"/>
  <c r="U2" i="2"/>
  <c r="T2" i="2"/>
  <c r="S2" i="2"/>
  <c r="R2" i="2"/>
  <c r="M3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2" i="2"/>
  <c r="O38" i="2"/>
  <c r="O36" i="2"/>
  <c r="O35" i="2"/>
  <c r="O34" i="2"/>
  <c r="O3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7" i="2"/>
  <c r="Q2" i="2"/>
  <c r="O47" i="2"/>
  <c r="O44" i="2"/>
  <c r="K44" i="2"/>
  <c r="J44" i="2"/>
  <c r="I44" i="2"/>
  <c r="H44" i="2"/>
  <c r="O42" i="2"/>
  <c r="O39" i="2"/>
  <c r="O40" i="2"/>
  <c r="O41" i="2"/>
  <c r="O43" i="2"/>
  <c r="O30" i="2"/>
  <c r="O33" i="2"/>
  <c r="R4" i="1"/>
  <c r="O17" i="2"/>
  <c r="O22" i="2"/>
  <c r="O15" i="2"/>
  <c r="O16" i="2"/>
  <c r="O11" i="2"/>
  <c r="O19" i="2"/>
  <c r="O23" i="2"/>
  <c r="O20" i="2"/>
  <c r="O12" i="2"/>
  <c r="O14" i="2"/>
  <c r="O13" i="2"/>
  <c r="O18" i="2"/>
  <c r="O21" i="2"/>
  <c r="K21" i="2"/>
  <c r="J21" i="2"/>
  <c r="I21" i="2"/>
  <c r="H21" i="2"/>
  <c r="H18" i="2"/>
  <c r="I18" i="2"/>
  <c r="J18" i="2"/>
  <c r="K18" i="2"/>
  <c r="H4" i="2"/>
  <c r="I4" i="2"/>
  <c r="J4" i="2"/>
  <c r="K4" i="2"/>
  <c r="H24" i="2"/>
  <c r="I24" i="2"/>
  <c r="J24" i="2"/>
  <c r="K24" i="2"/>
  <c r="H25" i="2"/>
  <c r="I25" i="2"/>
  <c r="J25" i="2"/>
  <c r="K25" i="2"/>
  <c r="H26" i="2"/>
  <c r="I26" i="2"/>
  <c r="J26" i="2"/>
  <c r="K26" i="2"/>
  <c r="H38" i="2"/>
  <c r="I38" i="2"/>
  <c r="J38" i="2"/>
  <c r="K38" i="2"/>
  <c r="H13" i="2"/>
  <c r="I13" i="2"/>
  <c r="J13" i="2"/>
  <c r="K13" i="2"/>
  <c r="H14" i="2"/>
  <c r="I14" i="2"/>
  <c r="J14" i="2"/>
  <c r="K14" i="2"/>
  <c r="H12" i="2"/>
  <c r="I12" i="2"/>
  <c r="J12" i="2"/>
  <c r="K12" i="2"/>
  <c r="H20" i="2"/>
  <c r="I20" i="2"/>
  <c r="J20" i="2"/>
  <c r="K20" i="2"/>
  <c r="H23" i="2"/>
  <c r="I23" i="2"/>
  <c r="J23" i="2"/>
  <c r="K23" i="2"/>
  <c r="H19" i="2"/>
  <c r="I19" i="2"/>
  <c r="J19" i="2"/>
  <c r="K19" i="2"/>
  <c r="H11" i="2"/>
  <c r="I11" i="2"/>
  <c r="J11" i="2"/>
  <c r="K11" i="2"/>
  <c r="H28" i="2"/>
  <c r="P28" i="2" s="1"/>
  <c r="I28" i="2"/>
  <c r="J28" i="2"/>
  <c r="K28" i="2"/>
  <c r="H27" i="2"/>
  <c r="I27" i="2"/>
  <c r="J27" i="2"/>
  <c r="K27" i="2"/>
  <c r="H16" i="2"/>
  <c r="I16" i="2"/>
  <c r="J16" i="2"/>
  <c r="K16" i="2"/>
  <c r="H47" i="2"/>
  <c r="I47" i="2"/>
  <c r="J47" i="2"/>
  <c r="K47" i="2"/>
  <c r="H15" i="2"/>
  <c r="I15" i="2"/>
  <c r="J15" i="2"/>
  <c r="K15" i="2"/>
  <c r="H22" i="2"/>
  <c r="I22" i="2"/>
  <c r="J22" i="2"/>
  <c r="K22" i="2"/>
  <c r="H17" i="2"/>
  <c r="I17" i="2"/>
  <c r="J17" i="2"/>
  <c r="K17" i="2"/>
  <c r="K5" i="2"/>
  <c r="H6" i="2"/>
  <c r="P6" i="2" s="1"/>
  <c r="K7" i="2"/>
  <c r="H8" i="2"/>
  <c r="P8" i="2" s="1"/>
  <c r="K9" i="2"/>
  <c r="H10" i="2"/>
  <c r="H33" i="2"/>
  <c r="I33" i="2"/>
  <c r="J33" i="2"/>
  <c r="K33" i="2"/>
  <c r="H34" i="2"/>
  <c r="I34" i="2"/>
  <c r="J34" i="2"/>
  <c r="K34" i="2"/>
  <c r="H46" i="2"/>
  <c r="I46" i="2"/>
  <c r="J46" i="2"/>
  <c r="K46" i="2"/>
  <c r="H35" i="2"/>
  <c r="I35" i="2"/>
  <c r="J35" i="2"/>
  <c r="K35" i="2"/>
  <c r="H36" i="2"/>
  <c r="I36" i="2"/>
  <c r="J36" i="2"/>
  <c r="K36" i="2"/>
  <c r="H37" i="2"/>
  <c r="P37" i="2" s="1"/>
  <c r="I37" i="2"/>
  <c r="J37" i="2"/>
  <c r="K37" i="2"/>
  <c r="H29" i="2"/>
  <c r="I29" i="2"/>
  <c r="J29" i="2"/>
  <c r="K29" i="2"/>
  <c r="H30" i="2"/>
  <c r="I30" i="2"/>
  <c r="J30" i="2"/>
  <c r="K30" i="2"/>
  <c r="H31" i="2"/>
  <c r="I31" i="2"/>
  <c r="J31" i="2"/>
  <c r="K31" i="2"/>
  <c r="H45" i="2"/>
  <c r="I45" i="2"/>
  <c r="J45" i="2"/>
  <c r="K45" i="2"/>
  <c r="K2" i="2"/>
  <c r="H3" i="2"/>
  <c r="K32" i="2"/>
  <c r="H41" i="2"/>
  <c r="I41" i="2"/>
  <c r="J41" i="2"/>
  <c r="K41" i="2"/>
  <c r="H40" i="2"/>
  <c r="I40" i="2"/>
  <c r="J40" i="2"/>
  <c r="K40" i="2"/>
  <c r="H39" i="2"/>
  <c r="I39" i="2"/>
  <c r="J39" i="2"/>
  <c r="K39" i="2"/>
  <c r="H43" i="2"/>
  <c r="I43" i="2"/>
  <c r="J43" i="2"/>
  <c r="K43" i="2"/>
  <c r="H42" i="2"/>
  <c r="I42" i="2"/>
  <c r="J42" i="2"/>
  <c r="K42" i="2"/>
  <c r="R49" i="1"/>
  <c r="S49" i="1"/>
  <c r="T49" i="1"/>
  <c r="U49" i="1"/>
  <c r="S48" i="1"/>
  <c r="T48" i="1"/>
  <c r="U48" i="1"/>
  <c r="R48" i="1"/>
  <c r="S4" i="1"/>
  <c r="I10" i="2" s="1"/>
  <c r="T4" i="1"/>
  <c r="J10" i="2" s="1"/>
  <c r="U4" i="1"/>
  <c r="K10" i="2" s="1"/>
  <c r="R5" i="1"/>
  <c r="H7" i="2" s="1"/>
  <c r="S5" i="1"/>
  <c r="I7" i="2" s="1"/>
  <c r="T5" i="1"/>
  <c r="J7" i="2" s="1"/>
  <c r="U5" i="1"/>
  <c r="R6" i="1"/>
  <c r="S6" i="1"/>
  <c r="I6" i="2" s="1"/>
  <c r="T6" i="1"/>
  <c r="J6" i="2" s="1"/>
  <c r="U6" i="1"/>
  <c r="K6" i="2" s="1"/>
  <c r="R7" i="1"/>
  <c r="H5" i="2" s="1"/>
  <c r="P5" i="2" s="1"/>
  <c r="S7" i="1"/>
  <c r="I5" i="2" s="1"/>
  <c r="T7" i="1"/>
  <c r="J5" i="2" s="1"/>
  <c r="U7" i="1"/>
  <c r="R8" i="1"/>
  <c r="S8" i="1"/>
  <c r="I3" i="2" s="1"/>
  <c r="T8" i="1"/>
  <c r="J3" i="2" s="1"/>
  <c r="U8" i="1"/>
  <c r="K3" i="2" s="1"/>
  <c r="R9" i="1"/>
  <c r="H2" i="2" s="1"/>
  <c r="S9" i="1"/>
  <c r="I2" i="2" s="1"/>
  <c r="T9" i="1"/>
  <c r="J2" i="2" s="1"/>
  <c r="U9" i="1"/>
  <c r="R10" i="1"/>
  <c r="S10" i="1"/>
  <c r="I8" i="2" s="1"/>
  <c r="T10" i="1"/>
  <c r="J8" i="2" s="1"/>
  <c r="U10" i="1"/>
  <c r="K8" i="2" s="1"/>
  <c r="R11" i="1"/>
  <c r="H9" i="2" s="1"/>
  <c r="S11" i="1"/>
  <c r="I9" i="2" s="1"/>
  <c r="T11" i="1"/>
  <c r="J9" i="2" s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R33" i="1"/>
  <c r="S33" i="1"/>
  <c r="T33" i="1"/>
  <c r="U33" i="1"/>
  <c r="R34" i="1"/>
  <c r="S34" i="1"/>
  <c r="T34" i="1"/>
  <c r="U34" i="1"/>
  <c r="R35" i="1"/>
  <c r="S35" i="1"/>
  <c r="T35" i="1"/>
  <c r="U35" i="1"/>
  <c r="R36" i="1"/>
  <c r="S36" i="1"/>
  <c r="T36" i="1"/>
  <c r="U36" i="1"/>
  <c r="R37" i="1"/>
  <c r="H32" i="2" s="1"/>
  <c r="P32" i="2" s="1"/>
  <c r="S37" i="1"/>
  <c r="I32" i="2" s="1"/>
  <c r="T37" i="1"/>
  <c r="J32" i="2" s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1" i="1"/>
  <c r="S41" i="1"/>
  <c r="T41" i="1"/>
  <c r="U41" i="1"/>
  <c r="R42" i="1"/>
  <c r="S42" i="1"/>
  <c r="T42" i="1"/>
  <c r="U42" i="1"/>
  <c r="R43" i="1"/>
  <c r="S43" i="1"/>
  <c r="T43" i="1"/>
  <c r="U43" i="1"/>
  <c r="R44" i="1"/>
  <c r="S44" i="1"/>
  <c r="T44" i="1"/>
  <c r="U44" i="1"/>
  <c r="R45" i="1"/>
  <c r="S45" i="1"/>
  <c r="T45" i="1"/>
  <c r="U45" i="1"/>
  <c r="R46" i="1"/>
  <c r="S46" i="1"/>
  <c r="T46" i="1"/>
  <c r="U46" i="1"/>
  <c r="R47" i="1"/>
  <c r="S47" i="1"/>
  <c r="T47" i="1"/>
  <c r="U47" i="1"/>
  <c r="R50" i="1"/>
  <c r="S50" i="1"/>
  <c r="T50" i="1"/>
  <c r="U50" i="1"/>
  <c r="S3" i="1"/>
  <c r="T3" i="1"/>
  <c r="U3" i="1"/>
  <c r="R3" i="1"/>
  <c r="I35" i="3" l="1"/>
  <c r="I48" i="3"/>
  <c r="I33" i="3"/>
  <c r="I44" i="3"/>
  <c r="I28" i="3"/>
  <c r="I54" i="3"/>
  <c r="I26" i="3"/>
  <c r="I25" i="3"/>
  <c r="I24" i="3"/>
  <c r="V4" i="2"/>
  <c r="V23" i="2"/>
  <c r="V47" i="2"/>
  <c r="V42" i="2"/>
  <c r="V44" i="2"/>
  <c r="V21" i="2"/>
  <c r="V20" i="2"/>
  <c r="V14" i="2"/>
  <c r="V13" i="2"/>
  <c r="V43" i="2"/>
  <c r="W5" i="2"/>
  <c r="W15" i="2"/>
  <c r="W39" i="2"/>
  <c r="W9" i="2"/>
  <c r="V10" i="2"/>
  <c r="V40" i="2"/>
  <c r="W11" i="2"/>
  <c r="W22" i="2"/>
  <c r="W41" i="2"/>
  <c r="W12" i="2"/>
  <c r="W16" i="2"/>
  <c r="W3" i="2"/>
  <c r="AA47" i="2"/>
  <c r="AB47" i="2" s="1"/>
  <c r="AA11" i="2"/>
  <c r="AB11" i="2" s="1"/>
  <c r="Z11" i="2"/>
  <c r="Z3" i="2"/>
  <c r="Z10" i="2"/>
  <c r="Z12" i="2"/>
  <c r="Z23" i="2"/>
  <c r="AA14" i="2"/>
  <c r="AB14" i="2" s="1"/>
  <c r="AA16" i="2"/>
  <c r="AB16" i="2" s="1"/>
  <c r="Z20" i="2"/>
  <c r="Z39" i="2"/>
  <c r="Z41" i="2"/>
  <c r="AA23" i="2"/>
  <c r="AB23" i="2" s="1"/>
  <c r="Z13" i="2"/>
  <c r="Z43" i="2"/>
  <c r="Z47" i="2"/>
  <c r="AA13" i="2"/>
  <c r="AB13" i="2" s="1"/>
  <c r="AA3" i="2"/>
  <c r="AB3" i="2" s="1"/>
  <c r="AC3" i="2" s="1"/>
  <c r="AD3" i="2" s="1"/>
  <c r="AA21" i="2"/>
  <c r="AB21" i="2" s="1"/>
  <c r="AA40" i="2"/>
  <c r="AB40" i="2" s="1"/>
  <c r="AA42" i="2"/>
  <c r="AB42" i="2" s="1"/>
  <c r="AA4" i="2"/>
  <c r="AB4" i="2" s="1"/>
  <c r="AA44" i="2"/>
  <c r="AB44" i="2" s="1"/>
  <c r="Z21" i="2"/>
  <c r="Z44" i="2"/>
  <c r="AA9" i="2"/>
  <c r="AB9" i="2" s="1"/>
  <c r="Z9" i="2"/>
  <c r="Z15" i="2"/>
  <c r="AA5" i="2"/>
  <c r="AB5" i="2" s="1"/>
  <c r="AA22" i="2"/>
  <c r="AB22" i="2" s="1"/>
  <c r="Z42" i="2"/>
  <c r="AA10" i="2"/>
  <c r="AB10" i="2" s="1"/>
  <c r="AA15" i="2"/>
  <c r="AB15" i="2" s="1"/>
  <c r="AA20" i="2"/>
  <c r="AB20" i="2" s="1"/>
  <c r="AA39" i="2"/>
  <c r="AB39" i="2" s="1"/>
  <c r="AA41" i="2"/>
  <c r="AB41" i="2" s="1"/>
  <c r="AA43" i="2"/>
  <c r="AB43" i="2" s="1"/>
  <c r="Z5" i="2"/>
  <c r="Z40" i="2"/>
  <c r="Z16" i="2"/>
  <c r="Z22" i="2"/>
  <c r="Z4" i="2"/>
  <c r="AA12" i="2"/>
  <c r="AB12" i="2" s="1"/>
  <c r="Z14" i="2"/>
  <c r="AA2" i="2"/>
  <c r="AB2" i="2" s="1"/>
  <c r="Z2" i="2"/>
  <c r="P36" i="2"/>
  <c r="I55" i="3" s="1"/>
  <c r="P35" i="2"/>
  <c r="P18" i="2"/>
  <c r="P38" i="2"/>
  <c r="P23" i="2"/>
  <c r="P14" i="2"/>
  <c r="P22" i="2"/>
  <c r="I40" i="3" s="1"/>
  <c r="P15" i="2"/>
  <c r="I39" i="3" s="1"/>
  <c r="P39" i="2"/>
  <c r="P42" i="2"/>
  <c r="I60" i="3" s="1"/>
  <c r="P41" i="2"/>
  <c r="I58" i="3" s="1"/>
  <c r="P33" i="2"/>
  <c r="I50" i="3" s="1"/>
  <c r="P17" i="2"/>
  <c r="I41" i="3" s="1"/>
  <c r="P40" i="2"/>
  <c r="P16" i="2"/>
  <c r="P31" i="2"/>
  <c r="I51" i="3" s="1"/>
  <c r="P34" i="2"/>
  <c r="I52" i="3" s="1"/>
  <c r="P47" i="2"/>
  <c r="P21" i="2"/>
  <c r="P13" i="2"/>
  <c r="I31" i="3" s="1"/>
  <c r="P44" i="2"/>
  <c r="P20" i="2"/>
  <c r="I36" i="3" s="1"/>
  <c r="P12" i="2"/>
  <c r="I38" i="3" s="1"/>
  <c r="P30" i="2"/>
  <c r="P43" i="2"/>
  <c r="P19" i="2"/>
  <c r="P11" i="2"/>
  <c r="I34" i="3" s="1"/>
  <c r="P2" i="2"/>
  <c r="P7" i="2"/>
  <c r="I23" i="3" s="1"/>
  <c r="P3" i="2"/>
  <c r="P9" i="2"/>
  <c r="I29" i="3" s="1"/>
  <c r="P10" i="2"/>
  <c r="I22" i="3" s="1"/>
  <c r="P29" i="2"/>
  <c r="I47" i="3" s="1"/>
  <c r="P46" i="2"/>
  <c r="P27" i="2"/>
  <c r="I42" i="3" s="1"/>
  <c r="P45" i="2"/>
  <c r="P26" i="2"/>
  <c r="I43" i="3" s="1"/>
  <c r="P24" i="2"/>
  <c r="I45" i="3" s="1"/>
  <c r="P25" i="2"/>
  <c r="P4" i="2"/>
  <c r="I21" i="3" s="1"/>
  <c r="I63" i="3" l="1"/>
  <c r="I65" i="3"/>
  <c r="I64" i="3"/>
  <c r="I62" i="3"/>
  <c r="I32" i="3"/>
  <c r="I46" i="3"/>
  <c r="I18" i="3" s="1" a="1"/>
  <c r="I18" i="3" s="1"/>
  <c r="I30" i="3"/>
  <c r="I37" i="3"/>
  <c r="I61" i="3"/>
  <c r="I27" i="3"/>
  <c r="I17" i="3" a="1"/>
  <c r="I17" i="3" s="1"/>
  <c r="I59" i="3"/>
  <c r="I15" i="3" s="1" a="1"/>
  <c r="I15" i="3" s="1"/>
  <c r="I49" i="3"/>
  <c r="I16" i="3" s="1" a="1"/>
  <c r="I16" i="3" s="1"/>
  <c r="AE3" i="2"/>
  <c r="AC23" i="2"/>
  <c r="AD23" i="2" s="1"/>
  <c r="X23" i="2" s="1"/>
  <c r="AE23" i="2" s="1"/>
  <c r="AF23" i="2" s="1"/>
  <c r="AC47" i="2"/>
  <c r="AD47" i="2" s="1"/>
  <c r="X47" i="2" s="1"/>
  <c r="AE47" i="2" s="1"/>
  <c r="AF47" i="2" s="1"/>
  <c r="AC10" i="2"/>
  <c r="AC11" i="2"/>
  <c r="AD11" i="2" s="1"/>
  <c r="X11" i="2" s="1"/>
  <c r="AE11" i="2" s="1"/>
  <c r="AF11" i="2" s="1"/>
  <c r="AC16" i="2"/>
  <c r="AD16" i="2" s="1"/>
  <c r="X16" i="2" s="1"/>
  <c r="AE16" i="2" s="1"/>
  <c r="AF16" i="2" s="1"/>
  <c r="AC15" i="2"/>
  <c r="AD15" i="2" s="1"/>
  <c r="X15" i="2" s="1"/>
  <c r="AF15" i="2" s="1"/>
  <c r="AC14" i="2"/>
  <c r="AD14" i="2" s="1"/>
  <c r="X14" i="2" s="1"/>
  <c r="AE14" i="2" s="1"/>
  <c r="AF14" i="2" s="1"/>
  <c r="AC12" i="2"/>
  <c r="AD12" i="2" s="1"/>
  <c r="X12" i="2" s="1"/>
  <c r="AF12" i="2" s="1"/>
  <c r="AC41" i="2"/>
  <c r="AD41" i="2" s="1"/>
  <c r="X41" i="2" s="1"/>
  <c r="AE41" i="2" s="1"/>
  <c r="AF41" i="2" s="1"/>
  <c r="AC39" i="2"/>
  <c r="AD39" i="2" s="1"/>
  <c r="X39" i="2" s="1"/>
  <c r="AE39" i="2" s="1"/>
  <c r="AF39" i="2" s="1"/>
  <c r="AC42" i="2"/>
  <c r="AD42" i="2" s="1"/>
  <c r="X42" i="2" s="1"/>
  <c r="AE42" i="2" s="1"/>
  <c r="AF42" i="2" s="1"/>
  <c r="AC20" i="2"/>
  <c r="AD20" i="2" s="1"/>
  <c r="X20" i="2" s="1"/>
  <c r="AE20" i="2" s="1"/>
  <c r="AF20" i="2" s="1"/>
  <c r="AC13" i="2"/>
  <c r="AD13" i="2" s="1"/>
  <c r="X13" i="2" s="1"/>
  <c r="AE13" i="2" s="1"/>
  <c r="AF13" i="2" s="1"/>
  <c r="AC9" i="2"/>
  <c r="AD9" i="2" s="1"/>
  <c r="X9" i="2" s="1"/>
  <c r="AE9" i="2" s="1"/>
  <c r="AF9" i="2" s="1"/>
  <c r="AC43" i="2"/>
  <c r="AD43" i="2" s="1"/>
  <c r="X43" i="2" s="1"/>
  <c r="AE43" i="2" s="1"/>
  <c r="AF43" i="2" s="1"/>
  <c r="AC22" i="2"/>
  <c r="AD22" i="2" s="1"/>
  <c r="X22" i="2" s="1"/>
  <c r="AE22" i="2" s="1"/>
  <c r="AF22" i="2" s="1"/>
  <c r="AC40" i="2"/>
  <c r="AD40" i="2" s="1"/>
  <c r="X40" i="2" s="1"/>
  <c r="AE40" i="2" s="1"/>
  <c r="AF40" i="2" s="1"/>
  <c r="AC5" i="2"/>
  <c r="AD5" i="2" s="1"/>
  <c r="X5" i="2" s="1"/>
  <c r="AE5" i="2" s="1"/>
  <c r="AF5" i="2" s="1"/>
  <c r="AC21" i="2"/>
  <c r="AD21" i="2" s="1"/>
  <c r="X21" i="2" s="1"/>
  <c r="AE21" i="2" s="1"/>
  <c r="AF21" i="2" s="1"/>
  <c r="AC4" i="2"/>
  <c r="AD4" i="2" s="1"/>
  <c r="X4" i="2" s="1"/>
  <c r="AE4" i="2" s="1"/>
  <c r="AC44" i="2"/>
  <c r="AD44" i="2" s="1"/>
  <c r="X44" i="2" s="1"/>
  <c r="AE44" i="2" s="1"/>
  <c r="AF44" i="2" s="1"/>
  <c r="AC2" i="2"/>
  <c r="AD2" i="2" s="1"/>
  <c r="X2" i="2" s="1"/>
  <c r="AE2" i="2" s="1"/>
  <c r="AF2" i="2" s="1"/>
  <c r="I19" i="3"/>
  <c r="I14" i="3" l="1" a="1"/>
  <c r="I14" i="3" s="1"/>
  <c r="I13" i="3" a="1"/>
  <c r="I13" i="3" s="1"/>
  <c r="I11" i="3" a="1"/>
  <c r="I11" i="3" s="1"/>
  <c r="I10" i="3" a="1"/>
  <c r="I10" i="3" s="1"/>
  <c r="I8" i="3" s="1"/>
  <c r="I12" i="3" a="1"/>
  <c r="I12" i="3" s="1"/>
  <c r="AF4" i="2"/>
  <c r="AF3" i="2"/>
  <c r="AD10" i="2"/>
  <c r="X10" i="2" s="1"/>
  <c r="AF10" i="2" s="1"/>
  <c r="F2" i="5" l="1"/>
  <c r="G2" i="5"/>
  <c r="H2" i="5" l="1"/>
  <c r="I2" i="5" s="1"/>
  <c r="I7" i="3" l="1"/>
  <c r="I6" i="3" s="1"/>
  <c r="I5" i="3" s="1"/>
  <c r="N9" i="3" l="1"/>
  <c r="N6" i="3"/>
  <c r="N3" i="3"/>
  <c r="O3" i="3" s="1"/>
  <c r="P3" i="3" s="1"/>
  <c r="N8" i="3" l="1"/>
  <c r="N10" i="3" s="1"/>
  <c r="N11" i="3" s="1"/>
  <c r="N12" i="3" s="1"/>
  <c r="O6" i="3" s="1"/>
  <c r="N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<sst xmlns="http://schemas.openxmlformats.org/spreadsheetml/2006/main" count="864" uniqueCount="251">
  <si>
    <t>CAHPS</t>
  </si>
  <si>
    <t>H</t>
  </si>
  <si>
    <t>HEDIS</t>
  </si>
  <si>
    <t xml:space="preserve">HEDIS        </t>
  </si>
  <si>
    <t>HOS</t>
  </si>
  <si>
    <t>Ops</t>
  </si>
  <si>
    <t>L</t>
  </si>
  <si>
    <t>PatientSafety</t>
  </si>
  <si>
    <t>QI</t>
  </si>
  <si>
    <t>ReAdmits</t>
  </si>
  <si>
    <t xml:space="preserve">Annual Flu Vaccine                                                                                  </t>
  </si>
  <si>
    <t xml:space="preserve">Care Coordination                                                                                   </t>
  </si>
  <si>
    <t xml:space="preserve">Customer Service                                                                                    </t>
  </si>
  <si>
    <t xml:space="preserve">Getting Appointments and Care Quickly                                                               </t>
  </si>
  <si>
    <t xml:space="preserve">Getting Needed Care                                                                                 </t>
  </si>
  <si>
    <t xml:space="preserve">Getting Needed Prescription Drugs                                                                   </t>
  </si>
  <si>
    <t xml:space="preserve">Rating of Drug Plan                                                                                 </t>
  </si>
  <si>
    <t xml:space="preserve">Rating of Health Care Quality                                                                       </t>
  </si>
  <si>
    <t xml:space="preserve">Rating of Health Plan                                                                               </t>
  </si>
  <si>
    <t xml:space="preserve">Breast Cancer Screening                                                                             </t>
  </si>
  <si>
    <t xml:space="preserve">Care for Older Adults - Medication Review                                                           </t>
  </si>
  <si>
    <t xml:space="preserve">Care for Older Adults - Functional Status Assessment                                                </t>
  </si>
  <si>
    <t xml:space="preserve">Care for Older Adults - Pain Assessment                                                             </t>
  </si>
  <si>
    <t xml:space="preserve">Colorectal Cancer Screening                                                                         </t>
  </si>
  <si>
    <t xml:space="preserve">Controlling Blood Pressure                                                                          </t>
  </si>
  <si>
    <t xml:space="preserve">Diabetes Care - Blood Sugar Controlled                                                              </t>
  </si>
  <si>
    <t xml:space="preserve">Diabetes Care - Eye Exam                                                                            </t>
  </si>
  <si>
    <t>Kidney Health Evaluation for Patients with Diabetes</t>
  </si>
  <si>
    <t xml:space="preserve">Osteoporosis Management in Women who had a Fracture                                                 </t>
  </si>
  <si>
    <t xml:space="preserve">Statin Therapy for Patients with Cardiovascular Disease                                             </t>
  </si>
  <si>
    <t xml:space="preserve">Medication Reconciliation Post-Discharge                                                            </t>
  </si>
  <si>
    <t xml:space="preserve">Transitions of Care (Part C) - Average </t>
  </si>
  <si>
    <t>Follow-up after ED Visit (FMC)</t>
  </si>
  <si>
    <t xml:space="preserve">Improving Bladder Control                                                                           </t>
  </si>
  <si>
    <t xml:space="preserve">Monitoring Physical Activity                                                                        </t>
  </si>
  <si>
    <t xml:space="preserve">Reducing the Risk of Falling                                                                        </t>
  </si>
  <si>
    <t xml:space="preserve">Improving or Maintaining Physical Health                                                            </t>
  </si>
  <si>
    <t xml:space="preserve">Improving or Maintaining Mental Health                                                              </t>
  </si>
  <si>
    <t xml:space="preserve">Call Center - Foreign Language Interpreter and TTY Availability                                     </t>
  </si>
  <si>
    <t xml:space="preserve">Complaints about the Drug Plan                                                                      </t>
  </si>
  <si>
    <t xml:space="preserve">Complaints about the Health Plan                                                                    </t>
  </si>
  <si>
    <t xml:space="preserve">Members Choosing to Leave the Plan                                                                  </t>
  </si>
  <si>
    <t xml:space="preserve">MPF Price Accuracy                                                                                  </t>
  </si>
  <si>
    <t xml:space="preserve">Plan Makes Timely Decisions about Appeals                                                           </t>
  </si>
  <si>
    <t xml:space="preserve">Reviewing Appeals Decisions                                                                         </t>
  </si>
  <si>
    <t xml:space="preserve">Special Needs Plan (SNP) Care Management                                                            </t>
  </si>
  <si>
    <t xml:space="preserve">Medication Adherence for Cholesterol (Statins)                                                      </t>
  </si>
  <si>
    <t xml:space="preserve">Medication Adherence for Diabetes Medications                                                       </t>
  </si>
  <si>
    <t xml:space="preserve">Medication Adherence for Hypertension (RAS antagonists)                                             </t>
  </si>
  <si>
    <t xml:space="preserve">MTM Program Completion Rate for CMR                                                                 </t>
  </si>
  <si>
    <t xml:space="preserve">Statin Use in Persons with Diabetes (SUPD)                                                          </t>
  </si>
  <si>
    <t>Concurrent Use of Opioids and Benzodiazepines</t>
  </si>
  <si>
    <t>Polypharmacy: Use of Multiple Anticholinergic Medications in Older Adults</t>
  </si>
  <si>
    <t xml:space="preserve">Drug Plan Quality Improvement                                                                       </t>
  </si>
  <si>
    <t xml:space="preserve">Health Plan Quality Improvement                                                                     </t>
  </si>
  <si>
    <t xml:space="preserve">Plan All-Cause Readmissions                                                                         </t>
  </si>
  <si>
    <t>Measure ID</t>
  </si>
  <si>
    <t>Measure Name</t>
  </si>
  <si>
    <t>Domain</t>
  </si>
  <si>
    <t>Weight</t>
  </si>
  <si>
    <t>Trend Ind</t>
  </si>
  <si>
    <t>5-Star</t>
  </si>
  <si>
    <t>4-Star</t>
  </si>
  <si>
    <t>3-Star</t>
  </si>
  <si>
    <t>2-Star</t>
  </si>
  <si>
    <t>2024 Pub CutPoints</t>
  </si>
  <si>
    <t>2025 Pub CutPoints</t>
  </si>
  <si>
    <t>2026 Pub CutPoints</t>
  </si>
  <si>
    <t>2027 Pub CutPoints (Derived)</t>
  </si>
  <si>
    <t>Contract</t>
  </si>
  <si>
    <t>Domian</t>
  </si>
  <si>
    <t>Trend</t>
  </si>
  <si>
    <t>C01: Breast Cancer Screening</t>
  </si>
  <si>
    <t>C02: Colorectal Cancer Screening</t>
  </si>
  <si>
    <t>C03: Annual Flu Vaccine</t>
  </si>
  <si>
    <t>C04: Improving or Maintaining Physical Health</t>
  </si>
  <si>
    <t>C05: Improving or Maintaining Mental Health</t>
  </si>
  <si>
    <t>C06: Monitoring Physical Activity</t>
  </si>
  <si>
    <t>C07: Special Needs Plan (SNP) Care Management</t>
  </si>
  <si>
    <t>C08: Care for Older Adults – Medication Review</t>
  </si>
  <si>
    <t>C09: Care for Older Adults – Pain Assessment</t>
  </si>
  <si>
    <t>C10: Osteoporosis Management in Women who had a Fracture</t>
  </si>
  <si>
    <t>C11: Diabetes Care – Eye Exam</t>
  </si>
  <si>
    <t>C12: Diabetes Care – Blood Sugar Controlled</t>
  </si>
  <si>
    <t>C13: Kidney Health Evaluation for Patients with Diabetes</t>
  </si>
  <si>
    <t>C14: Controlling High Blood Pressure</t>
  </si>
  <si>
    <t>C15: Reducing the Risk of Falling</t>
  </si>
  <si>
    <t>C16: Improving Bladder Control</t>
  </si>
  <si>
    <t>C17: Medication Reconciliation Post-Discharge</t>
  </si>
  <si>
    <t>C18: Plan All-Cause Readmissions</t>
  </si>
  <si>
    <t>C19: Statin Therapy for Patients with Cardiovascular Disease</t>
  </si>
  <si>
    <t>C20: Transitions of Care</t>
  </si>
  <si>
    <t>C21: Follow-up after Emergency Department Visit for People with Multiple High-Risk Chronic Conditions</t>
  </si>
  <si>
    <t>C22: Getting Needed Care</t>
  </si>
  <si>
    <t>C23: Getting Appointments and Care Quickly</t>
  </si>
  <si>
    <t>C24: Customer Service</t>
  </si>
  <si>
    <t>C25: Rating of Health Care Quality</t>
  </si>
  <si>
    <t>C26: Rating of Health Plan</t>
  </si>
  <si>
    <t>C27: Care Coordination</t>
  </si>
  <si>
    <t>C28: Complaints about the Health Plan</t>
  </si>
  <si>
    <t>C29: Members Choosing to Leave the Plan</t>
  </si>
  <si>
    <t>C30: Health Plan Quality Improvement</t>
  </si>
  <si>
    <t>C31: Plan Makes Timely Decisions about Appeals</t>
  </si>
  <si>
    <t>C32: Reviewing Appeals Decisions</t>
  </si>
  <si>
    <t>C33: Call Center – Foreign Language Interpreter and TTY Availability</t>
  </si>
  <si>
    <t>D01: Call Center – Foreign Language Interpreter and TTY Availability</t>
  </si>
  <si>
    <t>D02: Complaints about the Drug Plan</t>
  </si>
  <si>
    <t>D03: Members Choosing to Leave the Plan</t>
  </si>
  <si>
    <t>D04: Drug Plan Quality Improvement</t>
  </si>
  <si>
    <t>D05: Rating of Drug Plan</t>
  </si>
  <si>
    <t>D06: Getting Needed Prescription Drugs</t>
  </si>
  <si>
    <t>D07: MPF Price Accuracy</t>
  </si>
  <si>
    <t>D08: Medication Adherence for Diabetes Medications</t>
  </si>
  <si>
    <t>D09: Medication Adherence for Hypertension (RAS antagonists)</t>
  </si>
  <si>
    <t>D10: Medication Adherence for Cholesterol (Statins)</t>
  </si>
  <si>
    <t>D12: Statin Use in Persons with Diabetes (SUPD)</t>
  </si>
  <si>
    <t>Cutpoint 5</t>
  </si>
  <si>
    <t>Cutpoint 4</t>
  </si>
  <si>
    <t>Cutpoint 3</t>
  </si>
  <si>
    <t>Cutpoint 2</t>
  </si>
  <si>
    <t>Num</t>
  </si>
  <si>
    <t>Denom</t>
  </si>
  <si>
    <t>Adjust Prob</t>
  </si>
  <si>
    <t>H0123</t>
  </si>
  <si>
    <t>QI Ind</t>
  </si>
  <si>
    <t>PartC/D</t>
  </si>
  <si>
    <t>Dup Ind</t>
  </si>
  <si>
    <t>C</t>
  </si>
  <si>
    <t>D</t>
  </si>
  <si>
    <t>Y</t>
  </si>
  <si>
    <t>N</t>
  </si>
  <si>
    <t>MeasureID</t>
  </si>
  <si>
    <t>MeasureName</t>
  </si>
  <si>
    <t>PPO</t>
  </si>
  <si>
    <t>Overall Star</t>
  </si>
  <si>
    <t>Overall Rate with CAI and HEI Reward</t>
  </si>
  <si>
    <t>Overall Rate with CAI</t>
  </si>
  <si>
    <t xml:space="preserve">CAI </t>
  </si>
  <si>
    <t>Overall Mean Score wQI</t>
  </si>
  <si>
    <t>Overall Mean Score woQI</t>
  </si>
  <si>
    <t>Part C Rating</t>
  </si>
  <si>
    <t>Part D Rating</t>
  </si>
  <si>
    <t>Min Threshold</t>
  </si>
  <si>
    <t>Threshold</t>
  </si>
  <si>
    <t>Forecast Rate</t>
  </si>
  <si>
    <t>Forecast Star</t>
  </si>
  <si>
    <t>CMID</t>
  </si>
  <si>
    <t>C09: Care for Older Adults – Functional Status</t>
  </si>
  <si>
    <t>HEI Reward</t>
  </si>
  <si>
    <t>Enrollment</t>
  </si>
  <si>
    <t>Measure Star</t>
  </si>
  <si>
    <t>Stars Calculator: North Star Health Plan</t>
  </si>
  <si>
    <t>Actual Perf</t>
  </si>
  <si>
    <t>Delta</t>
  </si>
  <si>
    <t>PMPM</t>
  </si>
  <si>
    <t>Yearly</t>
  </si>
  <si>
    <t>Impact</t>
  </si>
  <si>
    <t>QBP</t>
  </si>
  <si>
    <t>Rebate</t>
  </si>
  <si>
    <t>Bid PMPM</t>
  </si>
  <si>
    <t>Benchmark PMPM</t>
  </si>
  <si>
    <t>Benchmark Annual</t>
  </si>
  <si>
    <t>Benchmark Difference PMPM</t>
  </si>
  <si>
    <t>Rebate %</t>
  </si>
  <si>
    <t>Rebate Annual</t>
  </si>
  <si>
    <t>Rebate PMPM</t>
  </si>
  <si>
    <t>Total Impact</t>
  </si>
  <si>
    <t>Change if any</t>
  </si>
  <si>
    <t>SRF Rate Previous Year</t>
  </si>
  <si>
    <t>SRF Rate Current year</t>
  </si>
  <si>
    <t>HEI Upper Band</t>
  </si>
  <si>
    <t>HEI Lower Band</t>
  </si>
  <si>
    <t>HEI Score</t>
  </si>
  <si>
    <t>LOG Odds</t>
  </si>
  <si>
    <t>DENOM Previous Year</t>
  </si>
  <si>
    <t>Denom Current year</t>
  </si>
  <si>
    <t>Contract Specific Propotion</t>
  </si>
  <si>
    <t>Contract Unadjusted Rate</t>
  </si>
  <si>
    <t>LOG</t>
  </si>
  <si>
    <t>Exponent</t>
  </si>
  <si>
    <t>Rate as per CMS</t>
  </si>
  <si>
    <t>Weighted Numerator</t>
  </si>
  <si>
    <t>Weighted Denom</t>
  </si>
  <si>
    <t>SRF Rate Prev Yr</t>
  </si>
  <si>
    <t>SRF Rate Curr Yr</t>
  </si>
  <si>
    <t>Δ Rate</t>
  </si>
  <si>
    <t>Denom Prev</t>
  </si>
  <si>
    <t>Denom Curr</t>
  </si>
  <si>
    <t>Δ Denom</t>
  </si>
  <si>
    <t>HEI Upper</t>
  </si>
  <si>
    <t>HEI Lower</t>
  </si>
  <si>
    <t>Avg Rate vs HEI</t>
  </si>
  <si>
    <t>Interpretation</t>
  </si>
  <si>
    <t>D05 Rating of Drug Plan</t>
  </si>
  <si>
    <t>Below Lower Band</t>
  </si>
  <si>
    <t>Slight gain; still below HEI threshold</t>
  </si>
  <si>
    <t>D06 Getting Needed Rx Drugs</t>
  </si>
  <si>
    <t>Decline; experience measure risk</t>
  </si>
  <si>
    <t>C03 Annual Flu Vaccine</t>
  </si>
  <si>
    <t>Modest improvement</t>
  </si>
  <si>
    <t>C22–C27 CAHPS Composite Group</t>
  </si>
  <si>
    <t>Flat; need CAHPS improvement</t>
  </si>
  <si>
    <t>C14 Controlling High BP</t>
  </si>
  <si>
    <t>Large denom increase; verify stability</t>
  </si>
  <si>
    <t>C10 Osteoporosis Mgmt</t>
  </si>
  <si>
    <t>Consistent</t>
  </si>
  <si>
    <t>C08–C09 Care for Older Adults</t>
  </si>
  <si>
    <t>Stable</t>
  </si>
  <si>
    <t>C19 Statin Therapy for CVD</t>
  </si>
  <si>
    <t>Opportunity to lift above HEI</t>
  </si>
  <si>
    <t>C17–C13 Clinical Follow-up Group</t>
  </si>
  <si>
    <t>C11 Diabetes Eye Exam</t>
  </si>
  <si>
    <t>C01 Breast Cancer Screening</t>
  </si>
  <si>
    <t>C20 Transitions of Care</t>
  </si>
  <si>
    <t>C12 Diabetes – Blood Sugar Controlled</t>
  </si>
  <si>
    <t>D08–D12 Medication Adherence Group</t>
  </si>
  <si>
    <t>Stable; key 4★ opportunity</t>
  </si>
  <si>
    <t>Safety &amp; Polypharmacy Group</t>
  </si>
  <si>
    <t>C18 Plan All-Cause Readmissions</t>
  </si>
  <si>
    <t>Slight gain; still below HEI</t>
  </si>
  <si>
    <t>SRF Enrollment</t>
  </si>
  <si>
    <t>%SRF</t>
  </si>
  <si>
    <t>Reward Eligibility</t>
  </si>
  <si>
    <t>Weighted NUM</t>
  </si>
  <si>
    <t>Weighted DENOM</t>
  </si>
  <si>
    <t>Simulation 1</t>
  </si>
  <si>
    <t>Previous PIT</t>
  </si>
  <si>
    <t>Previous YE</t>
  </si>
  <si>
    <t>Current PIT</t>
  </si>
  <si>
    <t>Forecasted YE</t>
  </si>
  <si>
    <t>Measue Weight</t>
  </si>
  <si>
    <t>Readmits</t>
  </si>
  <si>
    <t>Diab- Eye Exam</t>
  </si>
  <si>
    <t>Diab - HB1AC</t>
  </si>
  <si>
    <t>BCS</t>
  </si>
  <si>
    <t>COL</t>
  </si>
  <si>
    <t>FMC</t>
  </si>
  <si>
    <t>TOC</t>
  </si>
  <si>
    <t>MA</t>
  </si>
  <si>
    <t xml:space="preserve">QI    </t>
  </si>
  <si>
    <t>READMITS</t>
  </si>
  <si>
    <t>Number of Individuals</t>
  </si>
  <si>
    <t>Forecasted YE for 4 STARS</t>
  </si>
  <si>
    <t>5 CUT POINT</t>
  </si>
  <si>
    <t>4 CUT POINT</t>
  </si>
  <si>
    <t>3 CUT POINT</t>
  </si>
  <si>
    <t>2CUT POINT</t>
  </si>
  <si>
    <t>HARD</t>
  </si>
  <si>
    <t>MID</t>
  </si>
  <si>
    <t>EASY</t>
  </si>
  <si>
    <t>EYE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</si>
</sst>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"/>
    <numFmt numFmtId="166" formatCode="_(* #,##0_);_(* \(#,##0\);_(* &quot;-&quot;??_);_(@_)"/>
    <numFmt numFmtId="167" formatCode="_(&quot;$&quot;* #,##0_);_(&quot;$&quot;* \(#,##0\);_(&quot;$&quot;* &quot;-&quot;??_);_(@_)"/>
    <numFmt numFmtId="168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1"/>
      <color theme="1"/>
      <name val="Aptos Narrow"/>
      <family val="2"/>
      <scheme val="minor"/>
    </font>
    <font>
      <sz val="16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5" fillId="0" borderId="1" xfId="0" applyFont="1" applyBorder="1"/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164" fontId="2" fillId="0" borderId="1" xfId="2" applyNumberFormat="1" applyFont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2" xfId="0" applyFont="1" applyBorder="1"/>
    <xf numFmtId="0" fontId="2" fillId="0" borderId="2" xfId="0" applyFont="1" applyBorder="1"/>
    <xf numFmtId="166" fontId="2" fillId="0" borderId="3" xfId="1" applyNumberFormat="1" applyFont="1" applyBorder="1"/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0" fontId="2" fillId="0" borderId="3" xfId="0" applyFont="1" applyBorder="1"/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9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7" fontId="2" fillId="0" borderId="1" xfId="3" applyNumberFormat="1" applyFont="1" applyBorder="1" applyAlignment="1">
      <alignment horizontal="center"/>
    </xf>
    <xf numFmtId="167" fontId="2" fillId="0" borderId="1" xfId="3" applyNumberFormat="1" applyFont="1" applyBorder="1"/>
    <xf numFmtId="167" fontId="2" fillId="0" borderId="1" xfId="0" applyNumberFormat="1" applyFont="1" applyBorder="1"/>
    <xf numFmtId="44" fontId="2" fillId="0" borderId="1" xfId="0" applyNumberFormat="1" applyFont="1" applyBorder="1"/>
    <xf numFmtId="0" fontId="4" fillId="7" borderId="1" xfId="0" applyFont="1" applyFill="1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165" fontId="0" fillId="0" borderId="1" xfId="0" applyNumberFormat="1" applyBorder="1"/>
    <xf numFmtId="168" fontId="0" fillId="0" borderId="1" xfId="0" applyNumberFormat="1" applyBorder="1"/>
    <xf numFmtId="0" fontId="0" fillId="7" borderId="1" xfId="0" applyFill="1" applyBorder="1"/>
    <xf numFmtId="166" fontId="0" fillId="0" borderId="1" xfId="1" applyNumberFormat="1" applyFont="1" applyBorder="1"/>
    <xf numFmtId="0" fontId="4" fillId="8" borderId="1" xfId="0" applyFont="1" applyFill="1" applyBorder="1"/>
    <xf numFmtId="44" fontId="2" fillId="0" borderId="0" xfId="0" applyNumberFormat="1" applyFont="1"/>
    <xf numFmtId="167" fontId="2" fillId="0" borderId="5" xfId="3" applyNumberFormat="1" applyFont="1" applyBorder="1"/>
    <xf numFmtId="167" fontId="2" fillId="0" borderId="7" xfId="0" applyNumberFormat="1" applyFont="1" applyBorder="1"/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7" fillId="0" borderId="8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7" fontId="8" fillId="0" borderId="1" xfId="3" applyNumberFormat="1" applyFont="1" applyBorder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20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AD5F-C5F0-4032-88D9-E08033B33DC4}">
  <sheetPr>
    <tabColor rgb="FFFFFF00"/>
  </sheetPr>
  <dimension ref="A1:U50"/>
  <sheetViews>
    <sheetView workbookViewId="0">
      <pane xSplit="5" ySplit="2" topLeftCell="F3" activePane="bottomRight" state="frozen"/>
      <selection activeCell="E3" sqref="E3"/>
      <selection pane="topRight" activeCell="E3" sqref="E3"/>
      <selection pane="bottomLeft" activeCell="E3" sqref="E3"/>
      <selection pane="bottomRight" activeCell="E3" sqref="E3"/>
    </sheetView>
  </sheetViews>
  <sheetFormatPr defaultRowHeight="13" x14ac:dyDescent="0.3"/>
  <cols>
    <col min="1" max="1" width="9.54296875" style="1" bestFit="1" customWidth="1"/>
    <col min="2" max="2" width="34.90625" style="1" customWidth="1"/>
    <col min="3" max="3" width="10.90625" style="1" bestFit="1" customWidth="1"/>
    <col min="4" max="4" width="6.26953125" style="1" bestFit="1" customWidth="1"/>
    <col min="5" max="5" width="8.1796875" style="1" bestFit="1" customWidth="1"/>
    <col min="6" max="21" width="7" style="1" customWidth="1"/>
    <col min="22" max="16384" width="8.7265625" style="1"/>
  </cols>
  <sheetData>
    <row r="1" spans="1:21" x14ac:dyDescent="0.3">
      <c r="E1" s="1">
        <v>100</v>
      </c>
      <c r="F1" s="51" t="s">
        <v>65</v>
      </c>
      <c r="G1" s="51"/>
      <c r="H1" s="51"/>
      <c r="I1" s="51"/>
      <c r="J1" s="51" t="s">
        <v>66</v>
      </c>
      <c r="K1" s="51"/>
      <c r="L1" s="51"/>
      <c r="M1" s="51"/>
      <c r="N1" s="51" t="s">
        <v>67</v>
      </c>
      <c r="O1" s="51"/>
      <c r="P1" s="51"/>
      <c r="Q1" s="51"/>
      <c r="R1" s="52" t="s">
        <v>68</v>
      </c>
      <c r="S1" s="52"/>
      <c r="T1" s="52"/>
      <c r="U1" s="52"/>
    </row>
    <row r="2" spans="1:21" x14ac:dyDescent="0.3">
      <c r="A2" s="10" t="s">
        <v>56</v>
      </c>
      <c r="B2" s="10" t="s">
        <v>57</v>
      </c>
      <c r="C2" s="10" t="s">
        <v>58</v>
      </c>
      <c r="D2" s="10" t="s">
        <v>59</v>
      </c>
      <c r="E2" s="10" t="s">
        <v>60</v>
      </c>
      <c r="F2" s="10" t="s">
        <v>61</v>
      </c>
      <c r="G2" s="10" t="s">
        <v>62</v>
      </c>
      <c r="H2" s="10" t="s">
        <v>63</v>
      </c>
      <c r="I2" s="10" t="s">
        <v>64</v>
      </c>
      <c r="J2" s="10" t="s">
        <v>61</v>
      </c>
      <c r="K2" s="10" t="s">
        <v>62</v>
      </c>
      <c r="L2" s="10" t="s">
        <v>63</v>
      </c>
      <c r="M2" s="10" t="s">
        <v>64</v>
      </c>
      <c r="N2" s="10" t="s">
        <v>61</v>
      </c>
      <c r="O2" s="10" t="s">
        <v>62</v>
      </c>
      <c r="P2" s="10" t="s">
        <v>63</v>
      </c>
      <c r="Q2" s="10" t="s">
        <v>64</v>
      </c>
      <c r="R2" s="10" t="s">
        <v>61</v>
      </c>
      <c r="S2" s="10" t="s">
        <v>62</v>
      </c>
      <c r="T2" s="10" t="s">
        <v>63</v>
      </c>
      <c r="U2" s="10" t="s">
        <v>64</v>
      </c>
    </row>
    <row r="3" spans="1:21" x14ac:dyDescent="0.3">
      <c r="A3" s="2">
        <v>999901</v>
      </c>
      <c r="B3" s="2" t="s">
        <v>10</v>
      </c>
      <c r="C3" s="2" t="s">
        <v>0</v>
      </c>
      <c r="D3" s="2">
        <v>1</v>
      </c>
      <c r="E3" s="2" t="s">
        <v>1</v>
      </c>
      <c r="F3" s="11">
        <v>0.78</v>
      </c>
      <c r="G3" s="11">
        <v>0.74</v>
      </c>
      <c r="H3" s="11">
        <v>0.67</v>
      </c>
      <c r="I3" s="11">
        <v>0.63</v>
      </c>
      <c r="J3" s="11">
        <v>0.76</v>
      </c>
      <c r="K3" s="11">
        <v>0.71</v>
      </c>
      <c r="L3" s="11">
        <v>0.65</v>
      </c>
      <c r="M3" s="11">
        <v>0.61</v>
      </c>
      <c r="N3" s="11">
        <v>0.73</v>
      </c>
      <c r="O3" s="11">
        <v>0.68</v>
      </c>
      <c r="P3" s="11">
        <v>0.61</v>
      </c>
      <c r="Q3" s="11">
        <v>0.56999999999999995</v>
      </c>
      <c r="R3" s="11">
        <f>ROUND(AVERAGE(F3,J3,N3),2)</f>
        <v>0.76</v>
      </c>
      <c r="S3" s="11">
        <f t="shared" ref="S3:U3" si="0">ROUND(AVERAGE(G3,K3,O3),2)</f>
        <v>0.71</v>
      </c>
      <c r="T3" s="11">
        <f t="shared" si="0"/>
        <v>0.64</v>
      </c>
      <c r="U3" s="11">
        <f t="shared" si="0"/>
        <v>0.6</v>
      </c>
    </row>
    <row r="4" spans="1:21" x14ac:dyDescent="0.3">
      <c r="A4" s="2">
        <v>999922</v>
      </c>
      <c r="B4" s="2" t="s">
        <v>11</v>
      </c>
      <c r="C4" s="2" t="s">
        <v>0</v>
      </c>
      <c r="D4" s="2">
        <v>2</v>
      </c>
      <c r="E4" s="2" t="s">
        <v>1</v>
      </c>
      <c r="F4" s="11">
        <v>0.87</v>
      </c>
      <c r="G4" s="11">
        <v>0.86</v>
      </c>
      <c r="H4" s="11">
        <v>0.84</v>
      </c>
      <c r="I4" s="11">
        <v>0.83</v>
      </c>
      <c r="J4" s="11">
        <v>0.88</v>
      </c>
      <c r="K4" s="11">
        <v>0.87</v>
      </c>
      <c r="L4" s="11">
        <v>0.85</v>
      </c>
      <c r="M4" s="11">
        <v>0.84</v>
      </c>
      <c r="N4" s="11">
        <v>0.89</v>
      </c>
      <c r="O4" s="11">
        <v>0.88</v>
      </c>
      <c r="P4" s="11">
        <v>0.86</v>
      </c>
      <c r="Q4" s="11">
        <v>0.85</v>
      </c>
      <c r="R4" s="11">
        <f>ROUND(AVERAGE(F4,J4,N4),2) + 0.02</f>
        <v>0.9</v>
      </c>
      <c r="S4" s="11">
        <f t="shared" ref="S4:S50" si="1">ROUND(AVERAGE(G4,K4,O4),2)</f>
        <v>0.87</v>
      </c>
      <c r="T4" s="11">
        <f t="shared" ref="T4:T50" si="2">ROUND(AVERAGE(H4,L4,P4),2)</f>
        <v>0.85</v>
      </c>
      <c r="U4" s="11">
        <f t="shared" ref="U4:U50" si="3">ROUND(AVERAGE(I4,M4,Q4),2)</f>
        <v>0.84</v>
      </c>
    </row>
    <row r="5" spans="1:21" x14ac:dyDescent="0.3">
      <c r="A5" s="2">
        <v>999913</v>
      </c>
      <c r="B5" s="2" t="s">
        <v>12</v>
      </c>
      <c r="C5" s="2" t="s">
        <v>0</v>
      </c>
      <c r="D5" s="2">
        <v>2</v>
      </c>
      <c r="E5" s="2" t="s">
        <v>1</v>
      </c>
      <c r="F5" s="11">
        <v>0.92</v>
      </c>
      <c r="G5" s="11">
        <v>0.9</v>
      </c>
      <c r="H5" s="11">
        <v>0.89</v>
      </c>
      <c r="I5" s="11">
        <v>0.88</v>
      </c>
      <c r="J5" s="11">
        <v>0.92</v>
      </c>
      <c r="K5" s="11">
        <v>0.91</v>
      </c>
      <c r="L5" s="11">
        <v>0.89</v>
      </c>
      <c r="M5" s="11">
        <v>0.88</v>
      </c>
      <c r="N5" s="11">
        <v>0.92</v>
      </c>
      <c r="O5" s="11">
        <v>0.91</v>
      </c>
      <c r="P5" s="11">
        <v>0.89</v>
      </c>
      <c r="Q5" s="11">
        <v>0.88</v>
      </c>
      <c r="R5" s="11">
        <f t="shared" ref="R5:R50" si="4">ROUND(AVERAGE(F5,J5,N5),2)</f>
        <v>0.92</v>
      </c>
      <c r="S5" s="11">
        <f t="shared" si="1"/>
        <v>0.91</v>
      </c>
      <c r="T5" s="11">
        <f t="shared" si="2"/>
        <v>0.89</v>
      </c>
      <c r="U5" s="11">
        <f t="shared" si="3"/>
        <v>0.88</v>
      </c>
    </row>
    <row r="6" spans="1:21" x14ac:dyDescent="0.3">
      <c r="A6" s="2">
        <v>999912</v>
      </c>
      <c r="B6" s="2" t="s">
        <v>13</v>
      </c>
      <c r="C6" s="2" t="s">
        <v>0</v>
      </c>
      <c r="D6" s="2">
        <v>2</v>
      </c>
      <c r="E6" s="2" t="s">
        <v>1</v>
      </c>
      <c r="F6" s="11">
        <v>0.8</v>
      </c>
      <c r="G6" s="11">
        <v>0.78</v>
      </c>
      <c r="H6" s="11">
        <v>0.76</v>
      </c>
      <c r="I6" s="11">
        <v>0.74</v>
      </c>
      <c r="J6" s="11">
        <v>0.86</v>
      </c>
      <c r="K6" s="11">
        <v>0.84</v>
      </c>
      <c r="L6" s="11">
        <v>0.82</v>
      </c>
      <c r="M6" s="11">
        <v>0.8</v>
      </c>
      <c r="N6" s="11">
        <v>0.86</v>
      </c>
      <c r="O6" s="11">
        <v>0.84</v>
      </c>
      <c r="P6" s="11">
        <v>0.82</v>
      </c>
      <c r="Q6" s="11">
        <v>0.8</v>
      </c>
      <c r="R6" s="11">
        <f t="shared" si="4"/>
        <v>0.84</v>
      </c>
      <c r="S6" s="11">
        <f t="shared" si="1"/>
        <v>0.82</v>
      </c>
      <c r="T6" s="11">
        <f t="shared" si="2"/>
        <v>0.8</v>
      </c>
      <c r="U6" s="11">
        <f t="shared" si="3"/>
        <v>0.78</v>
      </c>
    </row>
    <row r="7" spans="1:21" x14ac:dyDescent="0.3">
      <c r="A7" s="2">
        <v>999911</v>
      </c>
      <c r="B7" s="2" t="s">
        <v>14</v>
      </c>
      <c r="C7" s="2" t="s">
        <v>0</v>
      </c>
      <c r="D7" s="2">
        <v>2</v>
      </c>
      <c r="E7" s="2" t="s">
        <v>1</v>
      </c>
      <c r="F7" s="11">
        <v>0.83</v>
      </c>
      <c r="G7" s="11">
        <v>0.81</v>
      </c>
      <c r="H7" s="11">
        <v>0.78</v>
      </c>
      <c r="I7" s="11">
        <v>0.76</v>
      </c>
      <c r="J7" s="11">
        <v>0.83</v>
      </c>
      <c r="K7" s="11">
        <v>0.82</v>
      </c>
      <c r="L7" s="11">
        <v>0.79</v>
      </c>
      <c r="M7" s="11">
        <v>0.77</v>
      </c>
      <c r="N7" s="11">
        <v>0.84</v>
      </c>
      <c r="O7" s="11">
        <v>0.82</v>
      </c>
      <c r="P7" s="11">
        <v>0.8</v>
      </c>
      <c r="Q7" s="11">
        <v>0.78</v>
      </c>
      <c r="R7" s="11">
        <f t="shared" si="4"/>
        <v>0.83</v>
      </c>
      <c r="S7" s="11">
        <f t="shared" si="1"/>
        <v>0.82</v>
      </c>
      <c r="T7" s="11">
        <f t="shared" si="2"/>
        <v>0.79</v>
      </c>
      <c r="U7" s="11">
        <f t="shared" si="3"/>
        <v>0.77</v>
      </c>
    </row>
    <row r="8" spans="1:21" x14ac:dyDescent="0.3">
      <c r="A8" s="2">
        <v>999811</v>
      </c>
      <c r="B8" s="2" t="s">
        <v>15</v>
      </c>
      <c r="C8" s="2" t="s">
        <v>0</v>
      </c>
      <c r="D8" s="2">
        <v>2</v>
      </c>
      <c r="E8" s="2" t="s">
        <v>1</v>
      </c>
      <c r="F8" s="11">
        <v>0.91</v>
      </c>
      <c r="G8" s="11">
        <v>0.9</v>
      </c>
      <c r="H8" s="11">
        <v>0.89</v>
      </c>
      <c r="I8" s="11">
        <v>0.87</v>
      </c>
      <c r="J8" s="11">
        <v>0.91</v>
      </c>
      <c r="K8" s="11">
        <v>0.9</v>
      </c>
      <c r="L8" s="11">
        <v>0.88</v>
      </c>
      <c r="M8" s="11">
        <v>0.87</v>
      </c>
      <c r="N8" s="11">
        <v>0.91</v>
      </c>
      <c r="O8" s="11">
        <v>0.9</v>
      </c>
      <c r="P8" s="11">
        <v>0.88</v>
      </c>
      <c r="Q8" s="11">
        <v>0.87</v>
      </c>
      <c r="R8" s="11">
        <f t="shared" si="4"/>
        <v>0.91</v>
      </c>
      <c r="S8" s="11">
        <f t="shared" si="1"/>
        <v>0.9</v>
      </c>
      <c r="T8" s="11">
        <f t="shared" si="2"/>
        <v>0.88</v>
      </c>
      <c r="U8" s="11">
        <f t="shared" si="3"/>
        <v>0.87</v>
      </c>
    </row>
    <row r="9" spans="1:21" x14ac:dyDescent="0.3">
      <c r="A9" s="2">
        <v>999810</v>
      </c>
      <c r="B9" s="2" t="s">
        <v>16</v>
      </c>
      <c r="C9" s="2" t="s">
        <v>0</v>
      </c>
      <c r="D9" s="2">
        <v>2</v>
      </c>
      <c r="E9" s="2" t="s">
        <v>1</v>
      </c>
      <c r="F9" s="11">
        <v>0.89</v>
      </c>
      <c r="G9" s="11">
        <v>0.87</v>
      </c>
      <c r="H9" s="11">
        <v>0.85</v>
      </c>
      <c r="I9" s="11">
        <v>0.84</v>
      </c>
      <c r="J9" s="11">
        <v>0.89</v>
      </c>
      <c r="K9" s="11">
        <v>0.87</v>
      </c>
      <c r="L9" s="11">
        <v>0.86</v>
      </c>
      <c r="M9" s="11">
        <v>0.84</v>
      </c>
      <c r="N9" s="11">
        <v>0.89</v>
      </c>
      <c r="O9" s="11">
        <v>0.88</v>
      </c>
      <c r="P9" s="11">
        <v>0.86</v>
      </c>
      <c r="Q9" s="11">
        <v>0.85</v>
      </c>
      <c r="R9" s="11">
        <f t="shared" si="4"/>
        <v>0.89</v>
      </c>
      <c r="S9" s="11">
        <f t="shared" si="1"/>
        <v>0.87</v>
      </c>
      <c r="T9" s="11">
        <f t="shared" si="2"/>
        <v>0.86</v>
      </c>
      <c r="U9" s="11">
        <f t="shared" si="3"/>
        <v>0.84</v>
      </c>
    </row>
    <row r="10" spans="1:21" x14ac:dyDescent="0.3">
      <c r="A10" s="2">
        <v>999914</v>
      </c>
      <c r="B10" s="2" t="s">
        <v>17</v>
      </c>
      <c r="C10" s="2" t="s">
        <v>0</v>
      </c>
      <c r="D10" s="2">
        <v>2</v>
      </c>
      <c r="E10" s="2" t="s">
        <v>1</v>
      </c>
      <c r="F10" s="11">
        <v>0.88</v>
      </c>
      <c r="G10" s="11">
        <v>0.87</v>
      </c>
      <c r="H10" s="11">
        <v>0.85</v>
      </c>
      <c r="I10" s="11">
        <v>0.84</v>
      </c>
      <c r="J10" s="11">
        <v>0.88</v>
      </c>
      <c r="K10" s="11">
        <v>0.87</v>
      </c>
      <c r="L10" s="11">
        <v>0.85</v>
      </c>
      <c r="M10" s="11">
        <v>0.84</v>
      </c>
      <c r="N10" s="11">
        <v>0.88</v>
      </c>
      <c r="O10" s="11">
        <v>0.87</v>
      </c>
      <c r="P10" s="11">
        <v>0.86</v>
      </c>
      <c r="Q10" s="11">
        <v>0.84</v>
      </c>
      <c r="R10" s="11">
        <f t="shared" si="4"/>
        <v>0.88</v>
      </c>
      <c r="S10" s="11">
        <f t="shared" si="1"/>
        <v>0.87</v>
      </c>
      <c r="T10" s="11">
        <f t="shared" si="2"/>
        <v>0.85</v>
      </c>
      <c r="U10" s="11">
        <f t="shared" si="3"/>
        <v>0.84</v>
      </c>
    </row>
    <row r="11" spans="1:21" x14ac:dyDescent="0.3">
      <c r="A11" s="2">
        <v>999915</v>
      </c>
      <c r="B11" s="2" t="s">
        <v>18</v>
      </c>
      <c r="C11" s="2" t="s">
        <v>0</v>
      </c>
      <c r="D11" s="2">
        <v>2</v>
      </c>
      <c r="E11" s="2" t="s">
        <v>1</v>
      </c>
      <c r="F11" s="11">
        <v>0.89</v>
      </c>
      <c r="G11" s="11">
        <v>0.88</v>
      </c>
      <c r="H11" s="11">
        <v>0.85</v>
      </c>
      <c r="I11" s="11">
        <v>0.84</v>
      </c>
      <c r="J11" s="11">
        <v>0.89</v>
      </c>
      <c r="K11" s="11">
        <v>0.88</v>
      </c>
      <c r="L11" s="11">
        <v>0.86</v>
      </c>
      <c r="M11" s="11">
        <v>0.84</v>
      </c>
      <c r="N11" s="11">
        <v>0.89</v>
      </c>
      <c r="O11" s="11">
        <v>0.87</v>
      </c>
      <c r="P11" s="11">
        <v>0.85</v>
      </c>
      <c r="Q11" s="11">
        <v>0.84</v>
      </c>
      <c r="R11" s="11">
        <f t="shared" si="4"/>
        <v>0.89</v>
      </c>
      <c r="S11" s="11">
        <f t="shared" si="1"/>
        <v>0.88</v>
      </c>
      <c r="T11" s="11">
        <f t="shared" si="2"/>
        <v>0.85</v>
      </c>
      <c r="U11" s="11">
        <f t="shared" si="3"/>
        <v>0.84</v>
      </c>
    </row>
    <row r="12" spans="1:21" x14ac:dyDescent="0.3">
      <c r="A12" s="2">
        <v>909230</v>
      </c>
      <c r="B12" s="2" t="s">
        <v>19</v>
      </c>
      <c r="C12" s="2" t="s">
        <v>2</v>
      </c>
      <c r="D12" s="2">
        <v>1</v>
      </c>
      <c r="E12" s="2" t="s">
        <v>1</v>
      </c>
      <c r="F12" s="11">
        <v>0.79</v>
      </c>
      <c r="G12" s="11">
        <v>0.71</v>
      </c>
      <c r="H12" s="11">
        <v>0.63</v>
      </c>
      <c r="I12" s="11">
        <v>0.48</v>
      </c>
      <c r="J12" s="11">
        <v>0.82</v>
      </c>
      <c r="K12" s="11">
        <v>0.75</v>
      </c>
      <c r="L12" s="11">
        <v>0.67</v>
      </c>
      <c r="M12" s="11">
        <v>0.53</v>
      </c>
      <c r="N12" s="11">
        <v>0.84</v>
      </c>
      <c r="O12" s="11">
        <v>0.76</v>
      </c>
      <c r="P12" s="11">
        <v>0.71</v>
      </c>
      <c r="Q12" s="11">
        <v>0.57999999999999996</v>
      </c>
      <c r="R12" s="11">
        <f t="shared" si="4"/>
        <v>0.82</v>
      </c>
      <c r="S12" s="11">
        <f t="shared" si="1"/>
        <v>0.74</v>
      </c>
      <c r="T12" s="11">
        <f t="shared" si="2"/>
        <v>0.67</v>
      </c>
      <c r="U12" s="11">
        <f t="shared" si="3"/>
        <v>0.53</v>
      </c>
    </row>
    <row r="13" spans="1:21" x14ac:dyDescent="0.3">
      <c r="A13" s="2">
        <v>107125</v>
      </c>
      <c r="B13" s="2" t="s">
        <v>20</v>
      </c>
      <c r="C13" s="2" t="s">
        <v>2</v>
      </c>
      <c r="D13" s="2">
        <v>1</v>
      </c>
      <c r="E13" s="2" t="s">
        <v>1</v>
      </c>
      <c r="F13" s="11">
        <v>0.98</v>
      </c>
      <c r="G13" s="11">
        <v>0.87</v>
      </c>
      <c r="H13" s="11">
        <v>0.75</v>
      </c>
      <c r="I13" s="11">
        <v>0.48</v>
      </c>
      <c r="J13" s="11">
        <v>0.98</v>
      </c>
      <c r="K13" s="11">
        <v>0.92</v>
      </c>
      <c r="L13" s="11">
        <v>0.8</v>
      </c>
      <c r="M13" s="11">
        <v>0.53</v>
      </c>
      <c r="N13" s="11">
        <v>0.98</v>
      </c>
      <c r="O13" s="11">
        <v>0.93</v>
      </c>
      <c r="P13" s="11">
        <v>0.85</v>
      </c>
      <c r="Q13" s="11">
        <v>0.57999999999999996</v>
      </c>
      <c r="R13" s="11">
        <f t="shared" si="4"/>
        <v>0.98</v>
      </c>
      <c r="S13" s="11">
        <f t="shared" si="1"/>
        <v>0.91</v>
      </c>
      <c r="T13" s="11">
        <f t="shared" si="2"/>
        <v>0.8</v>
      </c>
      <c r="U13" s="11">
        <f t="shared" si="3"/>
        <v>0.53</v>
      </c>
    </row>
    <row r="14" spans="1:21" x14ac:dyDescent="0.3">
      <c r="A14" s="2">
        <v>107126</v>
      </c>
      <c r="B14" s="2" t="s">
        <v>21</v>
      </c>
      <c r="C14" s="2" t="s">
        <v>2</v>
      </c>
      <c r="D14" s="2">
        <v>1</v>
      </c>
      <c r="E14" s="2" t="s">
        <v>1</v>
      </c>
      <c r="F14" s="11">
        <v>0.94</v>
      </c>
      <c r="G14" s="11">
        <v>0.8</v>
      </c>
      <c r="H14" s="11">
        <v>0.66</v>
      </c>
      <c r="I14" s="11">
        <v>0.48</v>
      </c>
      <c r="J14" s="11">
        <v>0.91</v>
      </c>
      <c r="K14" s="11">
        <v>0.78</v>
      </c>
      <c r="L14" s="11">
        <v>0.66</v>
      </c>
      <c r="M14" s="11">
        <v>0.46</v>
      </c>
      <c r="N14" s="11">
        <v>0.95</v>
      </c>
      <c r="O14" s="11">
        <v>0.82</v>
      </c>
      <c r="P14" s="11">
        <v>0.68</v>
      </c>
      <c r="Q14" s="11">
        <v>0.5</v>
      </c>
      <c r="R14" s="11">
        <f t="shared" si="4"/>
        <v>0.93</v>
      </c>
      <c r="S14" s="11">
        <f t="shared" si="1"/>
        <v>0.8</v>
      </c>
      <c r="T14" s="11">
        <f t="shared" si="2"/>
        <v>0.67</v>
      </c>
      <c r="U14" s="11">
        <f t="shared" si="3"/>
        <v>0.48</v>
      </c>
    </row>
    <row r="15" spans="1:21" x14ac:dyDescent="0.3">
      <c r="A15" s="2">
        <v>107127</v>
      </c>
      <c r="B15" s="2" t="s">
        <v>22</v>
      </c>
      <c r="C15" s="2" t="s">
        <v>2</v>
      </c>
      <c r="D15" s="2">
        <v>1</v>
      </c>
      <c r="E15" s="2" t="s">
        <v>1</v>
      </c>
      <c r="F15" s="11">
        <v>0.96</v>
      </c>
      <c r="G15" s="11">
        <v>0.9</v>
      </c>
      <c r="H15" s="11">
        <v>0.76</v>
      </c>
      <c r="I15" s="11">
        <v>0.55000000000000004</v>
      </c>
      <c r="J15" s="11">
        <v>0.96</v>
      </c>
      <c r="K15" s="11">
        <v>0.92</v>
      </c>
      <c r="L15" s="11">
        <v>0.81</v>
      </c>
      <c r="M15" s="11">
        <v>0.6</v>
      </c>
      <c r="N15" s="11">
        <v>0.99</v>
      </c>
      <c r="O15" s="11">
        <v>0.95</v>
      </c>
      <c r="P15" s="11">
        <v>0.86</v>
      </c>
      <c r="Q15" s="11">
        <v>0.65</v>
      </c>
      <c r="R15" s="11">
        <f t="shared" si="4"/>
        <v>0.97</v>
      </c>
      <c r="S15" s="11">
        <f t="shared" si="1"/>
        <v>0.92</v>
      </c>
      <c r="T15" s="11">
        <f t="shared" si="2"/>
        <v>0.81</v>
      </c>
      <c r="U15" s="11">
        <f t="shared" si="3"/>
        <v>0.6</v>
      </c>
    </row>
    <row r="16" spans="1:21" x14ac:dyDescent="0.3">
      <c r="A16" s="2">
        <v>600452</v>
      </c>
      <c r="B16" s="2" t="s">
        <v>23</v>
      </c>
      <c r="C16" s="2" t="s">
        <v>2</v>
      </c>
      <c r="D16" s="2">
        <v>1</v>
      </c>
      <c r="E16" s="2" t="s">
        <v>1</v>
      </c>
      <c r="F16" s="11">
        <v>0.8</v>
      </c>
      <c r="G16" s="11">
        <v>0.71</v>
      </c>
      <c r="H16" s="11">
        <v>0.6</v>
      </c>
      <c r="I16" s="11">
        <v>0.48</v>
      </c>
      <c r="J16" s="11">
        <v>0.83</v>
      </c>
      <c r="K16" s="11">
        <v>0.75</v>
      </c>
      <c r="L16" s="11">
        <v>0.65</v>
      </c>
      <c r="M16" s="11">
        <v>0.53</v>
      </c>
      <c r="N16" s="11">
        <v>0.78</v>
      </c>
      <c r="O16" s="11">
        <v>0.7</v>
      </c>
      <c r="P16" s="11">
        <v>0.6</v>
      </c>
      <c r="Q16" s="11">
        <v>0.48</v>
      </c>
      <c r="R16" s="11">
        <f t="shared" si="4"/>
        <v>0.8</v>
      </c>
      <c r="S16" s="11">
        <f t="shared" si="1"/>
        <v>0.72</v>
      </c>
      <c r="T16" s="11">
        <f t="shared" si="2"/>
        <v>0.62</v>
      </c>
      <c r="U16" s="11">
        <f t="shared" si="3"/>
        <v>0.5</v>
      </c>
    </row>
    <row r="17" spans="1:21" x14ac:dyDescent="0.3">
      <c r="A17" s="2">
        <v>101803</v>
      </c>
      <c r="B17" s="2" t="s">
        <v>24</v>
      </c>
      <c r="C17" s="2" t="s">
        <v>2</v>
      </c>
      <c r="D17" s="2">
        <v>3</v>
      </c>
      <c r="E17" s="2" t="s">
        <v>1</v>
      </c>
      <c r="F17" s="11">
        <v>0.82</v>
      </c>
      <c r="G17" s="11">
        <v>0.74</v>
      </c>
      <c r="H17" s="11">
        <v>0.68</v>
      </c>
      <c r="I17" s="11">
        <v>0.57999999999999996</v>
      </c>
      <c r="J17" s="11">
        <v>0.85</v>
      </c>
      <c r="K17" s="11">
        <v>0.8</v>
      </c>
      <c r="L17" s="11">
        <v>0.74</v>
      </c>
      <c r="M17" s="11">
        <v>0.69</v>
      </c>
      <c r="N17" s="11">
        <v>0.86</v>
      </c>
      <c r="O17" s="11">
        <v>0.8</v>
      </c>
      <c r="P17" s="11">
        <v>0.75</v>
      </c>
      <c r="Q17" s="11">
        <v>0.67</v>
      </c>
      <c r="R17" s="11">
        <f t="shared" si="4"/>
        <v>0.84</v>
      </c>
      <c r="S17" s="11">
        <f t="shared" si="1"/>
        <v>0.78</v>
      </c>
      <c r="T17" s="11">
        <f t="shared" si="2"/>
        <v>0.72</v>
      </c>
      <c r="U17" s="11">
        <f t="shared" si="3"/>
        <v>0.65</v>
      </c>
    </row>
    <row r="18" spans="1:21" x14ac:dyDescent="0.3">
      <c r="A18" s="2">
        <v>999998</v>
      </c>
      <c r="B18" s="2" t="s">
        <v>25</v>
      </c>
      <c r="C18" s="2" t="s">
        <v>2</v>
      </c>
      <c r="D18" s="2">
        <v>3</v>
      </c>
      <c r="E18" s="2" t="s">
        <v>1</v>
      </c>
      <c r="F18" s="11">
        <v>0.87</v>
      </c>
      <c r="G18" s="11">
        <v>0.8</v>
      </c>
      <c r="H18" s="11">
        <v>0.67</v>
      </c>
      <c r="I18" s="11">
        <v>0.44</v>
      </c>
      <c r="J18" s="11">
        <v>0.9</v>
      </c>
      <c r="K18" s="11">
        <v>0.84</v>
      </c>
      <c r="L18" s="11">
        <v>0.72</v>
      </c>
      <c r="M18" s="11">
        <v>0.49</v>
      </c>
      <c r="N18" s="11">
        <v>0.91</v>
      </c>
      <c r="O18" s="11">
        <v>0.87</v>
      </c>
      <c r="P18" s="11">
        <v>0.77</v>
      </c>
      <c r="Q18" s="11">
        <v>0.54</v>
      </c>
      <c r="R18" s="11">
        <f t="shared" si="4"/>
        <v>0.89</v>
      </c>
      <c r="S18" s="11">
        <f t="shared" si="1"/>
        <v>0.84</v>
      </c>
      <c r="T18" s="11">
        <f t="shared" si="2"/>
        <v>0.72</v>
      </c>
      <c r="U18" s="11">
        <f t="shared" si="3"/>
        <v>0.49</v>
      </c>
    </row>
    <row r="19" spans="1:21" x14ac:dyDescent="0.3">
      <c r="A19" s="2">
        <v>900793</v>
      </c>
      <c r="B19" s="2" t="s">
        <v>26</v>
      </c>
      <c r="C19" s="2" t="s">
        <v>2</v>
      </c>
      <c r="D19" s="2">
        <v>1</v>
      </c>
      <c r="E19" s="2" t="s">
        <v>1</v>
      </c>
      <c r="F19" s="11">
        <v>0.81</v>
      </c>
      <c r="G19" s="11">
        <v>0.73</v>
      </c>
      <c r="H19" s="11">
        <v>0.65</v>
      </c>
      <c r="I19" s="11">
        <v>0.52</v>
      </c>
      <c r="J19" s="11">
        <v>0.83</v>
      </c>
      <c r="K19" s="11">
        <v>0.77</v>
      </c>
      <c r="L19" s="11">
        <v>0.7</v>
      </c>
      <c r="M19" s="11">
        <v>0.56999999999999995</v>
      </c>
      <c r="N19" s="11">
        <v>0.86</v>
      </c>
      <c r="O19" s="11">
        <v>0.8</v>
      </c>
      <c r="P19" s="11">
        <v>0.72</v>
      </c>
      <c r="Q19" s="11">
        <v>0.6</v>
      </c>
      <c r="R19" s="11">
        <f t="shared" si="4"/>
        <v>0.83</v>
      </c>
      <c r="S19" s="11">
        <f t="shared" si="1"/>
        <v>0.77</v>
      </c>
      <c r="T19" s="11">
        <f t="shared" si="2"/>
        <v>0.69</v>
      </c>
      <c r="U19" s="11">
        <f t="shared" si="3"/>
        <v>0.56000000000000005</v>
      </c>
    </row>
    <row r="20" spans="1:21" x14ac:dyDescent="0.3">
      <c r="A20" s="2">
        <v>600484</v>
      </c>
      <c r="B20" s="2" t="s">
        <v>27</v>
      </c>
      <c r="C20" s="2" t="s">
        <v>2</v>
      </c>
      <c r="D20" s="2">
        <v>1</v>
      </c>
      <c r="E20" s="2" t="s">
        <v>1</v>
      </c>
      <c r="F20" s="11">
        <v>0.64</v>
      </c>
      <c r="G20" s="11">
        <v>0.46</v>
      </c>
      <c r="H20" s="11">
        <v>0.35</v>
      </c>
      <c r="I20" s="11">
        <v>0.13</v>
      </c>
      <c r="J20" s="11">
        <v>0.68</v>
      </c>
      <c r="K20" s="11">
        <v>0.55000000000000004</v>
      </c>
      <c r="L20" s="11">
        <v>0.42</v>
      </c>
      <c r="M20" s="11">
        <v>0.23</v>
      </c>
      <c r="N20" s="11">
        <v>0.74</v>
      </c>
      <c r="O20" s="11">
        <v>0.62</v>
      </c>
      <c r="P20" s="11">
        <v>0.51</v>
      </c>
      <c r="Q20" s="11">
        <v>0.34</v>
      </c>
      <c r="R20" s="11">
        <f t="shared" si="4"/>
        <v>0.69</v>
      </c>
      <c r="S20" s="11">
        <f t="shared" si="1"/>
        <v>0.54</v>
      </c>
      <c r="T20" s="11">
        <f t="shared" si="2"/>
        <v>0.43</v>
      </c>
      <c r="U20" s="11">
        <f t="shared" si="3"/>
        <v>0.23</v>
      </c>
    </row>
    <row r="21" spans="1:21" x14ac:dyDescent="0.3">
      <c r="A21" s="2">
        <v>104201</v>
      </c>
      <c r="B21" s="2" t="s">
        <v>28</v>
      </c>
      <c r="C21" s="2" t="s">
        <v>2</v>
      </c>
      <c r="D21" s="2">
        <v>1</v>
      </c>
      <c r="E21" s="2" t="s">
        <v>1</v>
      </c>
      <c r="F21" s="11">
        <v>0.68</v>
      </c>
      <c r="G21" s="11">
        <v>0.5</v>
      </c>
      <c r="H21" s="11">
        <v>0.4</v>
      </c>
      <c r="I21" s="11">
        <v>0.28000000000000003</v>
      </c>
      <c r="J21" s="11">
        <v>0.71</v>
      </c>
      <c r="K21" s="11">
        <v>0.52</v>
      </c>
      <c r="L21" s="11">
        <v>0.39</v>
      </c>
      <c r="M21" s="11">
        <v>0.27</v>
      </c>
      <c r="N21" s="11">
        <v>0.68</v>
      </c>
      <c r="O21" s="11">
        <v>0.53</v>
      </c>
      <c r="P21" s="11">
        <v>0.41</v>
      </c>
      <c r="Q21" s="11">
        <v>0.32</v>
      </c>
      <c r="R21" s="11">
        <f t="shared" si="4"/>
        <v>0.69</v>
      </c>
      <c r="S21" s="11">
        <f t="shared" si="1"/>
        <v>0.52</v>
      </c>
      <c r="T21" s="11">
        <f t="shared" si="2"/>
        <v>0.4</v>
      </c>
      <c r="U21" s="11">
        <f t="shared" si="3"/>
        <v>0.28999999999999998</v>
      </c>
    </row>
    <row r="22" spans="1:21" x14ac:dyDescent="0.3">
      <c r="A22" s="2">
        <v>201507</v>
      </c>
      <c r="B22" s="2" t="s">
        <v>29</v>
      </c>
      <c r="C22" s="2" t="s">
        <v>2</v>
      </c>
      <c r="D22" s="2">
        <v>1</v>
      </c>
      <c r="E22" s="2" t="s">
        <v>1</v>
      </c>
      <c r="F22" s="11">
        <v>0.9</v>
      </c>
      <c r="G22" s="11">
        <v>0.86</v>
      </c>
      <c r="H22" s="11">
        <v>0.84</v>
      </c>
      <c r="I22" s="11">
        <v>0.79</v>
      </c>
      <c r="J22" s="11">
        <v>0.92</v>
      </c>
      <c r="K22" s="11">
        <v>0.88</v>
      </c>
      <c r="L22" s="11">
        <v>0.85</v>
      </c>
      <c r="M22" s="11">
        <v>0.81</v>
      </c>
      <c r="N22" s="11">
        <v>0.91</v>
      </c>
      <c r="O22" s="11">
        <v>0.88</v>
      </c>
      <c r="P22" s="11">
        <v>0.85</v>
      </c>
      <c r="Q22" s="11">
        <v>0.81</v>
      </c>
      <c r="R22" s="11">
        <f t="shared" si="4"/>
        <v>0.91</v>
      </c>
      <c r="S22" s="11">
        <f t="shared" si="1"/>
        <v>0.87</v>
      </c>
      <c r="T22" s="11">
        <f t="shared" si="2"/>
        <v>0.85</v>
      </c>
      <c r="U22" s="11">
        <f t="shared" si="3"/>
        <v>0.8</v>
      </c>
    </row>
    <row r="23" spans="1:21" x14ac:dyDescent="0.3">
      <c r="A23" s="2">
        <v>600070</v>
      </c>
      <c r="B23" s="2" t="s">
        <v>30</v>
      </c>
      <c r="C23" s="2" t="s">
        <v>3</v>
      </c>
      <c r="D23" s="2">
        <v>1</v>
      </c>
      <c r="E23" s="2" t="s">
        <v>1</v>
      </c>
      <c r="F23" s="11">
        <v>0.82</v>
      </c>
      <c r="G23" s="11">
        <v>0.68</v>
      </c>
      <c r="H23" s="11">
        <v>0.52</v>
      </c>
      <c r="I23" s="11">
        <v>0.38</v>
      </c>
      <c r="J23" s="11">
        <v>0.87</v>
      </c>
      <c r="K23" s="11">
        <v>0.73</v>
      </c>
      <c r="L23" s="11">
        <v>0.56999999999999995</v>
      </c>
      <c r="M23" s="11">
        <v>0.42</v>
      </c>
      <c r="N23" s="11">
        <v>0.87</v>
      </c>
      <c r="O23" s="11">
        <v>0.74</v>
      </c>
      <c r="P23" s="11">
        <v>0.6</v>
      </c>
      <c r="Q23" s="11">
        <v>0.4</v>
      </c>
      <c r="R23" s="11">
        <f t="shared" si="4"/>
        <v>0.85</v>
      </c>
      <c r="S23" s="11">
        <f t="shared" si="1"/>
        <v>0.72</v>
      </c>
      <c r="T23" s="11">
        <f t="shared" si="2"/>
        <v>0.56000000000000005</v>
      </c>
      <c r="U23" s="11">
        <f t="shared" si="3"/>
        <v>0.4</v>
      </c>
    </row>
    <row r="24" spans="1:21" x14ac:dyDescent="0.3">
      <c r="A24" s="2">
        <v>999600</v>
      </c>
      <c r="B24" s="2" t="s">
        <v>31</v>
      </c>
      <c r="C24" s="2" t="s">
        <v>2</v>
      </c>
      <c r="D24" s="2">
        <v>1</v>
      </c>
      <c r="E24" s="2" t="s">
        <v>1</v>
      </c>
      <c r="F24" s="11">
        <v>0.78</v>
      </c>
      <c r="G24" s="11">
        <v>0.64</v>
      </c>
      <c r="H24" s="11">
        <v>0.52</v>
      </c>
      <c r="I24" s="11">
        <v>0.4</v>
      </c>
      <c r="J24" s="11">
        <v>0.77</v>
      </c>
      <c r="K24" s="11">
        <v>0.63</v>
      </c>
      <c r="L24" s="11">
        <v>0.52</v>
      </c>
      <c r="M24" s="11">
        <v>0.44</v>
      </c>
      <c r="N24" s="11">
        <v>0.79</v>
      </c>
      <c r="O24" s="11">
        <v>0.69</v>
      </c>
      <c r="P24" s="11">
        <v>0.56000000000000005</v>
      </c>
      <c r="Q24" s="11">
        <v>0.44</v>
      </c>
      <c r="R24" s="11">
        <f t="shared" si="4"/>
        <v>0.78</v>
      </c>
      <c r="S24" s="11">
        <f t="shared" si="1"/>
        <v>0.65</v>
      </c>
      <c r="T24" s="11">
        <f t="shared" si="2"/>
        <v>0.53</v>
      </c>
      <c r="U24" s="11">
        <f t="shared" si="3"/>
        <v>0.43</v>
      </c>
    </row>
    <row r="25" spans="1:21" x14ac:dyDescent="0.3">
      <c r="A25" s="2">
        <v>600094</v>
      </c>
      <c r="B25" s="2" t="s">
        <v>32</v>
      </c>
      <c r="C25" s="2" t="s">
        <v>2</v>
      </c>
      <c r="D25" s="2">
        <v>1</v>
      </c>
      <c r="E25" s="2" t="s">
        <v>1</v>
      </c>
      <c r="F25" s="11">
        <v>0.68</v>
      </c>
      <c r="G25" s="11">
        <v>0.6</v>
      </c>
      <c r="H25" s="11">
        <v>0.53</v>
      </c>
      <c r="I25" s="11">
        <v>0.44</v>
      </c>
      <c r="J25" s="11">
        <v>0.69</v>
      </c>
      <c r="K25" s="11">
        <v>0.6</v>
      </c>
      <c r="L25" s="11">
        <v>0.53</v>
      </c>
      <c r="M25" s="11">
        <v>0.39</v>
      </c>
      <c r="N25" s="11">
        <v>0.78</v>
      </c>
      <c r="O25" s="11">
        <v>0.67</v>
      </c>
      <c r="P25" s="11">
        <v>0.59</v>
      </c>
      <c r="Q25" s="11">
        <v>0.5</v>
      </c>
      <c r="R25" s="11">
        <f t="shared" si="4"/>
        <v>0.72</v>
      </c>
      <c r="S25" s="11">
        <f t="shared" si="1"/>
        <v>0.62</v>
      </c>
      <c r="T25" s="11">
        <f t="shared" si="2"/>
        <v>0.55000000000000004</v>
      </c>
      <c r="U25" s="11">
        <f t="shared" si="3"/>
        <v>0.44</v>
      </c>
    </row>
    <row r="26" spans="1:21" x14ac:dyDescent="0.3">
      <c r="A26" s="2">
        <v>999909</v>
      </c>
      <c r="B26" s="2" t="s">
        <v>33</v>
      </c>
      <c r="C26" s="2" t="s">
        <v>4</v>
      </c>
      <c r="D26" s="2">
        <v>1</v>
      </c>
      <c r="E26" s="2" t="s">
        <v>1</v>
      </c>
      <c r="F26" s="11">
        <v>0.51</v>
      </c>
      <c r="G26" s="11">
        <v>0.47</v>
      </c>
      <c r="H26" s="11">
        <v>0.42</v>
      </c>
      <c r="I26" s="11">
        <v>0.38</v>
      </c>
      <c r="J26" s="11">
        <v>0.52</v>
      </c>
      <c r="K26" s="11">
        <v>0.48</v>
      </c>
      <c r="L26" s="11">
        <v>0.44</v>
      </c>
      <c r="M26" s="11">
        <v>0.39</v>
      </c>
      <c r="N26" s="11">
        <v>0.53</v>
      </c>
      <c r="O26" s="11">
        <v>0.49</v>
      </c>
      <c r="P26" s="11">
        <v>0.45</v>
      </c>
      <c r="Q26" s="11">
        <v>0.41</v>
      </c>
      <c r="R26" s="11">
        <f t="shared" si="4"/>
        <v>0.52</v>
      </c>
      <c r="S26" s="11">
        <f t="shared" si="1"/>
        <v>0.48</v>
      </c>
      <c r="T26" s="11">
        <f t="shared" si="2"/>
        <v>0.44</v>
      </c>
      <c r="U26" s="11">
        <f t="shared" si="3"/>
        <v>0.39</v>
      </c>
    </row>
    <row r="27" spans="1:21" x14ac:dyDescent="0.3">
      <c r="A27" s="2">
        <v>999905</v>
      </c>
      <c r="B27" s="2" t="s">
        <v>34</v>
      </c>
      <c r="C27" s="2" t="s">
        <v>4</v>
      </c>
      <c r="D27" s="2">
        <v>1</v>
      </c>
      <c r="E27" s="2" t="s">
        <v>1</v>
      </c>
      <c r="F27" s="11">
        <v>0.57999999999999996</v>
      </c>
      <c r="G27" s="11">
        <v>0.53</v>
      </c>
      <c r="H27" s="11">
        <v>0.48</v>
      </c>
      <c r="I27" s="11">
        <v>0.42</v>
      </c>
      <c r="J27" s="11">
        <v>0.6</v>
      </c>
      <c r="K27" s="11">
        <v>0.52</v>
      </c>
      <c r="L27" s="11">
        <v>0.47</v>
      </c>
      <c r="M27" s="11">
        <v>0.41</v>
      </c>
      <c r="N27" s="11">
        <v>0.59</v>
      </c>
      <c r="O27" s="11">
        <v>0.53</v>
      </c>
      <c r="P27" s="11">
        <v>0.47</v>
      </c>
      <c r="Q27" s="11">
        <v>0.41</v>
      </c>
      <c r="R27" s="11">
        <f t="shared" si="4"/>
        <v>0.59</v>
      </c>
      <c r="S27" s="11">
        <f t="shared" si="1"/>
        <v>0.53</v>
      </c>
      <c r="T27" s="11">
        <f t="shared" si="2"/>
        <v>0.47</v>
      </c>
      <c r="U27" s="11">
        <f t="shared" si="3"/>
        <v>0.41</v>
      </c>
    </row>
    <row r="28" spans="1:21" x14ac:dyDescent="0.3">
      <c r="A28" s="2">
        <v>999910</v>
      </c>
      <c r="B28" s="2" t="s">
        <v>35</v>
      </c>
      <c r="C28" s="2" t="s">
        <v>4</v>
      </c>
      <c r="D28" s="2">
        <v>1</v>
      </c>
      <c r="E28" s="2" t="s">
        <v>1</v>
      </c>
      <c r="F28" s="11">
        <v>0.7</v>
      </c>
      <c r="G28" s="11">
        <v>0.6</v>
      </c>
      <c r="H28" s="11">
        <v>0.53</v>
      </c>
      <c r="I28" s="11">
        <v>0.47</v>
      </c>
      <c r="J28" s="11">
        <v>0.73</v>
      </c>
      <c r="K28" s="11">
        <v>0.63</v>
      </c>
      <c r="L28" s="11">
        <v>0.56000000000000005</v>
      </c>
      <c r="M28" s="11">
        <v>0.5</v>
      </c>
      <c r="N28" s="11">
        <v>0.71</v>
      </c>
      <c r="O28" s="11">
        <v>0.62</v>
      </c>
      <c r="P28" s="11">
        <v>0.56999999999999995</v>
      </c>
      <c r="Q28" s="11">
        <v>0.51</v>
      </c>
      <c r="R28" s="11">
        <f t="shared" si="4"/>
        <v>0.71</v>
      </c>
      <c r="S28" s="11">
        <f t="shared" si="1"/>
        <v>0.62</v>
      </c>
      <c r="T28" s="11">
        <f t="shared" si="2"/>
        <v>0.55000000000000004</v>
      </c>
      <c r="U28" s="11">
        <f t="shared" si="3"/>
        <v>0.49</v>
      </c>
    </row>
    <row r="29" spans="1:21" x14ac:dyDescent="0.3">
      <c r="A29" s="2">
        <v>999903</v>
      </c>
      <c r="B29" s="2" t="s">
        <v>36</v>
      </c>
      <c r="C29" s="2" t="s">
        <v>4</v>
      </c>
      <c r="D29" s="2">
        <v>3</v>
      </c>
      <c r="E29" s="2" t="s">
        <v>1</v>
      </c>
      <c r="F29" s="11">
        <v>0.74</v>
      </c>
      <c r="G29" s="11">
        <v>0.7</v>
      </c>
      <c r="H29" s="11">
        <v>0.68</v>
      </c>
      <c r="I29" s="11">
        <v>0.64</v>
      </c>
      <c r="J29" s="11">
        <v>0.76</v>
      </c>
      <c r="K29" s="11">
        <v>0.72</v>
      </c>
      <c r="L29" s="11">
        <v>0.69</v>
      </c>
      <c r="M29" s="11">
        <v>0.65</v>
      </c>
      <c r="N29" s="11">
        <v>0.75</v>
      </c>
      <c r="O29" s="11">
        <v>0.72</v>
      </c>
      <c r="P29" s="11">
        <v>0.7</v>
      </c>
      <c r="Q29" s="11">
        <v>0.66</v>
      </c>
      <c r="R29" s="11">
        <f t="shared" si="4"/>
        <v>0.75</v>
      </c>
      <c r="S29" s="11">
        <f t="shared" si="1"/>
        <v>0.71</v>
      </c>
      <c r="T29" s="11">
        <f t="shared" si="2"/>
        <v>0.69</v>
      </c>
      <c r="U29" s="11">
        <f t="shared" si="3"/>
        <v>0.65</v>
      </c>
    </row>
    <row r="30" spans="1:21" x14ac:dyDescent="0.3">
      <c r="A30" s="2">
        <v>999904</v>
      </c>
      <c r="B30" s="2" t="s">
        <v>37</v>
      </c>
      <c r="C30" s="2" t="s">
        <v>4</v>
      </c>
      <c r="D30" s="2">
        <v>3</v>
      </c>
      <c r="E30" s="2" t="s">
        <v>1</v>
      </c>
      <c r="F30" s="11">
        <v>0.88</v>
      </c>
      <c r="G30" s="11">
        <v>0.84</v>
      </c>
      <c r="H30" s="11">
        <v>0.8</v>
      </c>
      <c r="I30" s="11">
        <v>0.71</v>
      </c>
      <c r="J30" s="11">
        <v>0.89</v>
      </c>
      <c r="K30" s="11">
        <v>0.86</v>
      </c>
      <c r="L30" s="11">
        <v>0.83</v>
      </c>
      <c r="M30" s="11">
        <v>0.78</v>
      </c>
      <c r="N30" s="11">
        <v>0.88</v>
      </c>
      <c r="O30" s="11">
        <v>0.85</v>
      </c>
      <c r="P30" s="11">
        <v>0.83</v>
      </c>
      <c r="Q30" s="11">
        <v>0.81</v>
      </c>
      <c r="R30" s="11">
        <f t="shared" si="4"/>
        <v>0.88</v>
      </c>
      <c r="S30" s="11">
        <f t="shared" si="1"/>
        <v>0.85</v>
      </c>
      <c r="T30" s="11">
        <f t="shared" si="2"/>
        <v>0.82</v>
      </c>
      <c r="U30" s="11">
        <f t="shared" si="3"/>
        <v>0.77</v>
      </c>
    </row>
    <row r="31" spans="1:21" x14ac:dyDescent="0.3">
      <c r="A31" s="2">
        <v>999802</v>
      </c>
      <c r="B31" s="2" t="s">
        <v>38</v>
      </c>
      <c r="C31" s="2" t="s">
        <v>5</v>
      </c>
      <c r="D31" s="2">
        <v>2</v>
      </c>
      <c r="E31" s="2" t="s">
        <v>1</v>
      </c>
      <c r="F31" s="11">
        <v>0.96</v>
      </c>
      <c r="G31" s="11">
        <v>0.85</v>
      </c>
      <c r="H31" s="11">
        <v>0.69</v>
      </c>
      <c r="I31" s="11">
        <v>0.35</v>
      </c>
      <c r="J31" s="11">
        <v>1</v>
      </c>
      <c r="K31" s="11">
        <v>0.9</v>
      </c>
      <c r="L31" s="11">
        <v>0.74</v>
      </c>
      <c r="M31" s="11">
        <v>0.4</v>
      </c>
      <c r="N31" s="11">
        <v>1</v>
      </c>
      <c r="O31" s="11">
        <v>0.95</v>
      </c>
      <c r="P31" s="11">
        <v>0.79</v>
      </c>
      <c r="Q31" s="11">
        <v>0.45</v>
      </c>
      <c r="R31" s="11">
        <f t="shared" si="4"/>
        <v>0.99</v>
      </c>
      <c r="S31" s="11">
        <f t="shared" si="1"/>
        <v>0.9</v>
      </c>
      <c r="T31" s="11">
        <f t="shared" si="2"/>
        <v>0.74</v>
      </c>
      <c r="U31" s="11">
        <f t="shared" si="3"/>
        <v>0.4</v>
      </c>
    </row>
    <row r="32" spans="1:21" x14ac:dyDescent="0.3">
      <c r="A32" s="2">
        <v>999921</v>
      </c>
      <c r="B32" s="2" t="s">
        <v>38</v>
      </c>
      <c r="C32" s="2" t="s">
        <v>5</v>
      </c>
      <c r="D32" s="2">
        <v>2</v>
      </c>
      <c r="E32" s="2" t="s">
        <v>1</v>
      </c>
      <c r="F32" s="11">
        <v>0.97</v>
      </c>
      <c r="G32" s="11">
        <v>0.88</v>
      </c>
      <c r="H32" s="11">
        <v>0.64</v>
      </c>
      <c r="I32" s="11">
        <v>0.41</v>
      </c>
      <c r="J32" s="11">
        <v>1</v>
      </c>
      <c r="K32" s="11">
        <v>0.93</v>
      </c>
      <c r="L32" s="11">
        <v>0.69</v>
      </c>
      <c r="M32" s="11">
        <v>0.46</v>
      </c>
      <c r="N32" s="11">
        <v>1</v>
      </c>
      <c r="O32" s="11">
        <v>0.97</v>
      </c>
      <c r="P32" s="11">
        <v>0.74</v>
      </c>
      <c r="Q32" s="11">
        <v>0.51</v>
      </c>
      <c r="R32" s="11">
        <f t="shared" si="4"/>
        <v>0.99</v>
      </c>
      <c r="S32" s="11">
        <f t="shared" si="1"/>
        <v>0.93</v>
      </c>
      <c r="T32" s="11">
        <f t="shared" si="2"/>
        <v>0.69</v>
      </c>
      <c r="U32" s="11">
        <f t="shared" si="3"/>
        <v>0.46</v>
      </c>
    </row>
    <row r="33" spans="1:21" x14ac:dyDescent="0.3">
      <c r="A33" s="2">
        <v>999806</v>
      </c>
      <c r="B33" s="2" t="s">
        <v>39</v>
      </c>
      <c r="C33" s="2" t="s">
        <v>5</v>
      </c>
      <c r="D33" s="2">
        <v>2</v>
      </c>
      <c r="E33" s="2" t="s">
        <v>6</v>
      </c>
      <c r="F33" s="11">
        <v>0.14000000000000001</v>
      </c>
      <c r="G33" s="11">
        <v>0.44</v>
      </c>
      <c r="H33" s="11">
        <v>0.83</v>
      </c>
      <c r="I33" s="11">
        <v>1.46</v>
      </c>
      <c r="J33" s="11">
        <v>0.12</v>
      </c>
      <c r="K33" s="11">
        <v>0.37</v>
      </c>
      <c r="L33" s="11">
        <v>0.76</v>
      </c>
      <c r="M33" s="11">
        <v>1.39</v>
      </c>
      <c r="N33" s="11">
        <v>0.11</v>
      </c>
      <c r="O33" s="11">
        <v>0.32</v>
      </c>
      <c r="P33" s="11">
        <v>0.71</v>
      </c>
      <c r="Q33" s="11">
        <v>1.34</v>
      </c>
      <c r="R33" s="11">
        <f t="shared" si="4"/>
        <v>0.12</v>
      </c>
      <c r="S33" s="11">
        <f t="shared" si="1"/>
        <v>0.38</v>
      </c>
      <c r="T33" s="11">
        <f t="shared" si="2"/>
        <v>0.77</v>
      </c>
      <c r="U33" s="11">
        <f t="shared" si="3"/>
        <v>1.4</v>
      </c>
    </row>
    <row r="34" spans="1:21" x14ac:dyDescent="0.3">
      <c r="A34" s="2">
        <v>999916</v>
      </c>
      <c r="B34" s="2" t="s">
        <v>40</v>
      </c>
      <c r="C34" s="2" t="s">
        <v>5</v>
      </c>
      <c r="D34" s="2">
        <v>2</v>
      </c>
      <c r="E34" s="2" t="s">
        <v>6</v>
      </c>
      <c r="F34" s="11">
        <v>0.14000000000000001</v>
      </c>
      <c r="G34" s="11">
        <v>0.44</v>
      </c>
      <c r="H34" s="11">
        <v>0.83</v>
      </c>
      <c r="I34" s="11">
        <v>1.46</v>
      </c>
      <c r="J34" s="11">
        <v>0.12</v>
      </c>
      <c r="K34" s="11">
        <v>0.37</v>
      </c>
      <c r="L34" s="11">
        <v>0.76</v>
      </c>
      <c r="M34" s="11">
        <v>1.39</v>
      </c>
      <c r="N34" s="11">
        <v>0.11</v>
      </c>
      <c r="O34" s="11">
        <v>0.32</v>
      </c>
      <c r="P34" s="11">
        <v>0.71</v>
      </c>
      <c r="Q34" s="11">
        <v>1.34</v>
      </c>
      <c r="R34" s="11">
        <f t="shared" si="4"/>
        <v>0.12</v>
      </c>
      <c r="S34" s="11">
        <f t="shared" si="1"/>
        <v>0.38</v>
      </c>
      <c r="T34" s="11">
        <f t="shared" si="2"/>
        <v>0.77</v>
      </c>
      <c r="U34" s="11">
        <f t="shared" si="3"/>
        <v>1.4</v>
      </c>
    </row>
    <row r="35" spans="1:21" x14ac:dyDescent="0.3">
      <c r="A35" s="2">
        <v>999808</v>
      </c>
      <c r="B35" s="2" t="s">
        <v>41</v>
      </c>
      <c r="C35" s="2" t="s">
        <v>5</v>
      </c>
      <c r="D35" s="2">
        <v>2</v>
      </c>
      <c r="E35" s="2" t="s">
        <v>6</v>
      </c>
      <c r="F35" s="11">
        <v>0.1</v>
      </c>
      <c r="G35" s="11">
        <v>0.18</v>
      </c>
      <c r="H35" s="11">
        <v>0.28999999999999998</v>
      </c>
      <c r="I35" s="11">
        <v>0.41</v>
      </c>
      <c r="J35" s="11">
        <v>0.08</v>
      </c>
      <c r="K35" s="11">
        <v>0.17</v>
      </c>
      <c r="L35" s="11">
        <v>0.24</v>
      </c>
      <c r="M35" s="11">
        <v>0.36</v>
      </c>
      <c r="N35" s="11">
        <v>0.08</v>
      </c>
      <c r="O35" s="11">
        <v>0.17</v>
      </c>
      <c r="P35" s="11">
        <v>0.28000000000000003</v>
      </c>
      <c r="Q35" s="11">
        <v>0.39</v>
      </c>
      <c r="R35" s="11">
        <f t="shared" si="4"/>
        <v>0.09</v>
      </c>
      <c r="S35" s="11">
        <f t="shared" si="1"/>
        <v>0.17</v>
      </c>
      <c r="T35" s="11">
        <f t="shared" si="2"/>
        <v>0.27</v>
      </c>
      <c r="U35" s="11">
        <f t="shared" si="3"/>
        <v>0.39</v>
      </c>
    </row>
    <row r="36" spans="1:21" x14ac:dyDescent="0.3">
      <c r="A36" s="2">
        <v>999918</v>
      </c>
      <c r="B36" s="2" t="s">
        <v>41</v>
      </c>
      <c r="C36" s="2" t="s">
        <v>5</v>
      </c>
      <c r="D36" s="2">
        <v>2</v>
      </c>
      <c r="E36" s="2" t="s">
        <v>6</v>
      </c>
      <c r="F36" s="11">
        <v>0.1</v>
      </c>
      <c r="G36" s="11">
        <v>0.18</v>
      </c>
      <c r="H36" s="11">
        <v>0.28999999999999998</v>
      </c>
      <c r="I36" s="11">
        <v>0.41</v>
      </c>
      <c r="J36" s="11">
        <v>0.08</v>
      </c>
      <c r="K36" s="11">
        <v>0.17</v>
      </c>
      <c r="L36" s="11">
        <v>0.24</v>
      </c>
      <c r="M36" s="11">
        <v>0.36</v>
      </c>
      <c r="N36" s="11">
        <v>0.08</v>
      </c>
      <c r="O36" s="11">
        <v>0.17</v>
      </c>
      <c r="P36" s="11">
        <v>0.28000000000000003</v>
      </c>
      <c r="Q36" s="11">
        <v>0.39</v>
      </c>
      <c r="R36" s="11">
        <f t="shared" si="4"/>
        <v>0.09</v>
      </c>
      <c r="S36" s="11">
        <f t="shared" si="1"/>
        <v>0.17</v>
      </c>
      <c r="T36" s="11">
        <f t="shared" si="2"/>
        <v>0.27</v>
      </c>
      <c r="U36" s="11">
        <f t="shared" si="3"/>
        <v>0.39</v>
      </c>
    </row>
    <row r="37" spans="1:21" x14ac:dyDescent="0.3">
      <c r="A37" s="2">
        <v>999814</v>
      </c>
      <c r="B37" s="2" t="s">
        <v>42</v>
      </c>
      <c r="C37" s="2" t="s">
        <v>5</v>
      </c>
      <c r="D37" s="2">
        <v>1</v>
      </c>
      <c r="E37" s="2" t="s">
        <v>1</v>
      </c>
      <c r="F37" s="11">
        <v>0.99</v>
      </c>
      <c r="G37" s="11">
        <v>0.98</v>
      </c>
      <c r="H37" s="11">
        <v>0.96</v>
      </c>
      <c r="I37" s="11">
        <v>0.94</v>
      </c>
      <c r="J37" s="11">
        <v>1</v>
      </c>
      <c r="K37" s="11">
        <v>0.99</v>
      </c>
      <c r="L37" s="11">
        <v>0.98</v>
      </c>
      <c r="M37" s="11">
        <v>0.97</v>
      </c>
      <c r="N37" s="11">
        <v>0.99</v>
      </c>
      <c r="O37" s="11">
        <v>0.94</v>
      </c>
      <c r="P37" s="11">
        <v>0.93</v>
      </c>
      <c r="Q37" s="11">
        <v>0.92</v>
      </c>
      <c r="R37" s="11">
        <f t="shared" si="4"/>
        <v>0.99</v>
      </c>
      <c r="S37" s="11">
        <f t="shared" si="1"/>
        <v>0.97</v>
      </c>
      <c r="T37" s="11">
        <f t="shared" si="2"/>
        <v>0.96</v>
      </c>
      <c r="U37" s="11">
        <f t="shared" si="3"/>
        <v>0.94</v>
      </c>
    </row>
    <row r="38" spans="1:21" x14ac:dyDescent="0.3">
      <c r="A38" s="2">
        <v>999919</v>
      </c>
      <c r="B38" s="2" t="s">
        <v>43</v>
      </c>
      <c r="C38" s="2" t="s">
        <v>5</v>
      </c>
      <c r="D38" s="2">
        <v>2</v>
      </c>
      <c r="E38" s="2" t="s">
        <v>1</v>
      </c>
      <c r="F38" s="11">
        <v>0.98</v>
      </c>
      <c r="G38" s="11">
        <v>0.9</v>
      </c>
      <c r="H38" s="11">
        <v>0.8</v>
      </c>
      <c r="I38" s="11">
        <v>0.64</v>
      </c>
      <c r="J38" s="11">
        <v>0.99</v>
      </c>
      <c r="K38" s="11">
        <v>0.95</v>
      </c>
      <c r="L38" s="11">
        <v>0.85</v>
      </c>
      <c r="M38" s="11">
        <v>0.69</v>
      </c>
      <c r="N38" s="11">
        <v>1</v>
      </c>
      <c r="O38" s="11">
        <v>0.99</v>
      </c>
      <c r="P38" s="11">
        <v>0.9</v>
      </c>
      <c r="Q38" s="11">
        <v>0.74</v>
      </c>
      <c r="R38" s="11">
        <f t="shared" si="4"/>
        <v>0.99</v>
      </c>
      <c r="S38" s="11">
        <f t="shared" si="1"/>
        <v>0.95</v>
      </c>
      <c r="T38" s="11">
        <f t="shared" si="2"/>
        <v>0.85</v>
      </c>
      <c r="U38" s="11">
        <f t="shared" si="3"/>
        <v>0.69</v>
      </c>
    </row>
    <row r="39" spans="1:21" x14ac:dyDescent="0.3">
      <c r="A39" s="2">
        <v>999920</v>
      </c>
      <c r="B39" s="2" t="s">
        <v>44</v>
      </c>
      <c r="C39" s="2" t="s">
        <v>5</v>
      </c>
      <c r="D39" s="2">
        <v>2</v>
      </c>
      <c r="E39" s="2" t="s">
        <v>1</v>
      </c>
      <c r="F39" s="11">
        <v>1</v>
      </c>
      <c r="G39" s="11">
        <v>0.96</v>
      </c>
      <c r="H39" s="11">
        <v>0.88</v>
      </c>
      <c r="I39" s="11">
        <v>0.73</v>
      </c>
      <c r="J39" s="11">
        <v>0.99</v>
      </c>
      <c r="K39" s="11">
        <v>0.96</v>
      </c>
      <c r="L39" s="11">
        <v>0.92</v>
      </c>
      <c r="M39" s="11">
        <v>0.78</v>
      </c>
      <c r="N39" s="11">
        <v>1</v>
      </c>
      <c r="O39" s="11">
        <v>0.98</v>
      </c>
      <c r="P39" s="11">
        <v>0.96</v>
      </c>
      <c r="Q39" s="11">
        <v>0.83</v>
      </c>
      <c r="R39" s="11">
        <f t="shared" si="4"/>
        <v>1</v>
      </c>
      <c r="S39" s="11">
        <f t="shared" si="1"/>
        <v>0.97</v>
      </c>
      <c r="T39" s="11">
        <f t="shared" si="2"/>
        <v>0.92</v>
      </c>
      <c r="U39" s="11">
        <f t="shared" si="3"/>
        <v>0.78</v>
      </c>
    </row>
    <row r="40" spans="1:21" x14ac:dyDescent="0.3">
      <c r="A40" s="2">
        <v>999925</v>
      </c>
      <c r="B40" s="2" t="s">
        <v>45</v>
      </c>
      <c r="C40" s="2" t="s">
        <v>5</v>
      </c>
      <c r="D40" s="2">
        <v>1</v>
      </c>
      <c r="E40" s="2" t="s">
        <v>1</v>
      </c>
      <c r="F40" s="11">
        <v>0.85</v>
      </c>
      <c r="G40" s="11">
        <v>0.74</v>
      </c>
      <c r="H40" s="11">
        <v>0.56999999999999995</v>
      </c>
      <c r="I40" s="11">
        <v>0.42</v>
      </c>
      <c r="J40" s="11">
        <v>0.89</v>
      </c>
      <c r="K40" s="11">
        <v>0.76</v>
      </c>
      <c r="L40" s="11">
        <v>0.62</v>
      </c>
      <c r="M40" s="11">
        <v>0.46</v>
      </c>
      <c r="N40" s="11">
        <v>0.88</v>
      </c>
      <c r="O40" s="11">
        <v>0.73</v>
      </c>
      <c r="P40" s="11">
        <v>0.6</v>
      </c>
      <c r="Q40" s="11">
        <v>0.42</v>
      </c>
      <c r="R40" s="11">
        <f t="shared" si="4"/>
        <v>0.87</v>
      </c>
      <c r="S40" s="11">
        <f t="shared" si="1"/>
        <v>0.74</v>
      </c>
      <c r="T40" s="11">
        <f t="shared" si="2"/>
        <v>0.6</v>
      </c>
      <c r="U40" s="11">
        <f t="shared" si="3"/>
        <v>0.43</v>
      </c>
    </row>
    <row r="41" spans="1:21" x14ac:dyDescent="0.3">
      <c r="A41" s="2">
        <v>201180</v>
      </c>
      <c r="B41" s="2" t="s">
        <v>46</v>
      </c>
      <c r="C41" s="2" t="s">
        <v>7</v>
      </c>
      <c r="D41" s="2">
        <v>3</v>
      </c>
      <c r="E41" s="2" t="s">
        <v>1</v>
      </c>
      <c r="F41" s="11">
        <v>0.91</v>
      </c>
      <c r="G41" s="11">
        <v>0.88</v>
      </c>
      <c r="H41" s="11">
        <v>0.86</v>
      </c>
      <c r="I41" s="11">
        <v>0.82</v>
      </c>
      <c r="J41" s="11">
        <v>0.93</v>
      </c>
      <c r="K41" s="11">
        <v>0.89</v>
      </c>
      <c r="L41" s="11">
        <v>0.85</v>
      </c>
      <c r="M41" s="11">
        <v>0.8</v>
      </c>
      <c r="N41" s="11">
        <v>0.93</v>
      </c>
      <c r="O41" s="11">
        <v>0.9</v>
      </c>
      <c r="P41" s="11">
        <v>0.88</v>
      </c>
      <c r="Q41" s="11">
        <v>0.84</v>
      </c>
      <c r="R41" s="11">
        <f t="shared" si="4"/>
        <v>0.92</v>
      </c>
      <c r="S41" s="11">
        <f t="shared" si="1"/>
        <v>0.89</v>
      </c>
      <c r="T41" s="11">
        <f t="shared" si="2"/>
        <v>0.86</v>
      </c>
      <c r="U41" s="11">
        <f t="shared" si="3"/>
        <v>0.82</v>
      </c>
    </row>
    <row r="42" spans="1:21" x14ac:dyDescent="0.3">
      <c r="A42" s="2">
        <v>201182</v>
      </c>
      <c r="B42" s="2" t="s">
        <v>47</v>
      </c>
      <c r="C42" s="2" t="s">
        <v>7</v>
      </c>
      <c r="D42" s="2">
        <v>3</v>
      </c>
      <c r="E42" s="2" t="s">
        <v>1</v>
      </c>
      <c r="F42" s="11">
        <v>0.9</v>
      </c>
      <c r="G42" s="11">
        <v>0.88</v>
      </c>
      <c r="H42" s="11">
        <v>0.84</v>
      </c>
      <c r="I42" s="11">
        <v>0.8</v>
      </c>
      <c r="J42" s="11">
        <v>0.91</v>
      </c>
      <c r="K42" s="11">
        <v>0.87</v>
      </c>
      <c r="L42" s="11">
        <v>0.85</v>
      </c>
      <c r="M42" s="11">
        <v>0.8</v>
      </c>
      <c r="N42" s="11">
        <v>0.92</v>
      </c>
      <c r="O42" s="11">
        <v>0.89</v>
      </c>
      <c r="P42" s="11">
        <v>0.86</v>
      </c>
      <c r="Q42" s="11">
        <v>0.83</v>
      </c>
      <c r="R42" s="11">
        <f t="shared" si="4"/>
        <v>0.91</v>
      </c>
      <c r="S42" s="11">
        <f t="shared" si="1"/>
        <v>0.88</v>
      </c>
      <c r="T42" s="11">
        <f t="shared" si="2"/>
        <v>0.85</v>
      </c>
      <c r="U42" s="11">
        <f t="shared" si="3"/>
        <v>0.81</v>
      </c>
    </row>
    <row r="43" spans="1:21" x14ac:dyDescent="0.3">
      <c r="A43" s="2">
        <v>201181</v>
      </c>
      <c r="B43" s="2" t="s">
        <v>48</v>
      </c>
      <c r="C43" s="2" t="s">
        <v>7</v>
      </c>
      <c r="D43" s="2">
        <v>3</v>
      </c>
      <c r="E43" s="2" t="s">
        <v>1</v>
      </c>
      <c r="F43" s="11">
        <v>0.91</v>
      </c>
      <c r="G43" s="11">
        <v>0.89</v>
      </c>
      <c r="H43" s="11">
        <v>0.86</v>
      </c>
      <c r="I43" s="11">
        <v>0.82</v>
      </c>
      <c r="J43" s="11">
        <v>0.92</v>
      </c>
      <c r="K43" s="11">
        <v>0.9</v>
      </c>
      <c r="L43" s="11">
        <v>0.87</v>
      </c>
      <c r="M43" s="11">
        <v>0.83</v>
      </c>
      <c r="N43" s="11">
        <v>0.93</v>
      </c>
      <c r="O43" s="11">
        <v>0.91</v>
      </c>
      <c r="P43" s="11">
        <v>0.88</v>
      </c>
      <c r="Q43" s="11">
        <v>0.84</v>
      </c>
      <c r="R43" s="11">
        <f t="shared" si="4"/>
        <v>0.92</v>
      </c>
      <c r="S43" s="11">
        <f t="shared" si="1"/>
        <v>0.9</v>
      </c>
      <c r="T43" s="11">
        <f t="shared" si="2"/>
        <v>0.87</v>
      </c>
      <c r="U43" s="11">
        <f t="shared" si="3"/>
        <v>0.83</v>
      </c>
    </row>
    <row r="44" spans="1:21" x14ac:dyDescent="0.3">
      <c r="A44" s="2">
        <v>201184</v>
      </c>
      <c r="B44" s="2" t="s">
        <v>49</v>
      </c>
      <c r="C44" s="2" t="s">
        <v>7</v>
      </c>
      <c r="D44" s="2">
        <v>1</v>
      </c>
      <c r="E44" s="2" t="s">
        <v>1</v>
      </c>
      <c r="F44" s="11">
        <v>0.92</v>
      </c>
      <c r="G44" s="11">
        <v>0.85</v>
      </c>
      <c r="H44" s="11">
        <v>0.72</v>
      </c>
      <c r="I44" s="11">
        <v>0.52</v>
      </c>
      <c r="J44" s="11">
        <v>0.93</v>
      </c>
      <c r="K44" s="11">
        <v>0.89</v>
      </c>
      <c r="L44" s="11">
        <v>0.77</v>
      </c>
      <c r="M44" s="11">
        <v>0.56999999999999995</v>
      </c>
      <c r="N44" s="11">
        <v>0.96</v>
      </c>
      <c r="O44" s="11">
        <v>0.91</v>
      </c>
      <c r="P44" s="11">
        <v>0.82</v>
      </c>
      <c r="Q44" s="11">
        <v>0.62</v>
      </c>
      <c r="R44" s="11">
        <f t="shared" si="4"/>
        <v>0.94</v>
      </c>
      <c r="S44" s="11">
        <f t="shared" si="1"/>
        <v>0.88</v>
      </c>
      <c r="T44" s="11">
        <f t="shared" si="2"/>
        <v>0.77</v>
      </c>
      <c r="U44" s="11">
        <f t="shared" si="3"/>
        <v>0.56999999999999995</v>
      </c>
    </row>
    <row r="45" spans="1:21" x14ac:dyDescent="0.3">
      <c r="A45" s="2">
        <v>201183</v>
      </c>
      <c r="B45" s="2" t="s">
        <v>50</v>
      </c>
      <c r="C45" s="2" t="s">
        <v>7</v>
      </c>
      <c r="D45" s="2">
        <v>1</v>
      </c>
      <c r="E45" s="2" t="s">
        <v>1</v>
      </c>
      <c r="F45" s="11">
        <v>0.92</v>
      </c>
      <c r="G45" s="11">
        <v>0.88</v>
      </c>
      <c r="H45" s="11">
        <v>0.86</v>
      </c>
      <c r="I45" s="11">
        <v>0.81</v>
      </c>
      <c r="J45" s="11">
        <v>0.93</v>
      </c>
      <c r="K45" s="11">
        <v>0.89</v>
      </c>
      <c r="L45" s="11">
        <v>0.86</v>
      </c>
      <c r="M45" s="11">
        <v>0.81</v>
      </c>
      <c r="N45" s="11">
        <v>0.93</v>
      </c>
      <c r="O45" s="11">
        <v>0.89</v>
      </c>
      <c r="P45" s="11">
        <v>0.85</v>
      </c>
      <c r="Q45" s="11">
        <v>0.81</v>
      </c>
      <c r="R45" s="11">
        <f t="shared" si="4"/>
        <v>0.93</v>
      </c>
      <c r="S45" s="11">
        <f t="shared" si="1"/>
        <v>0.89</v>
      </c>
      <c r="T45" s="11">
        <f t="shared" si="2"/>
        <v>0.86</v>
      </c>
      <c r="U45" s="11">
        <f t="shared" si="3"/>
        <v>0.81</v>
      </c>
    </row>
    <row r="46" spans="1:21" x14ac:dyDescent="0.3">
      <c r="A46" s="2">
        <v>201187</v>
      </c>
      <c r="B46" s="2" t="s">
        <v>51</v>
      </c>
      <c r="C46" s="2" t="s">
        <v>7</v>
      </c>
      <c r="D46" s="2">
        <v>1</v>
      </c>
      <c r="E46" s="2" t="s">
        <v>6</v>
      </c>
      <c r="F46" s="11">
        <v>0.08</v>
      </c>
      <c r="G46" s="11">
        <v>0.13</v>
      </c>
      <c r="H46" s="11">
        <v>0.19</v>
      </c>
      <c r="I46" s="11">
        <v>0.26</v>
      </c>
      <c r="J46" s="11">
        <v>7.0000000000000007E-2</v>
      </c>
      <c r="K46" s="11">
        <v>0.12</v>
      </c>
      <c r="L46" s="11">
        <v>0.16</v>
      </c>
      <c r="M46" s="11">
        <v>0.22</v>
      </c>
      <c r="N46" s="11">
        <v>7.0000000000000007E-2</v>
      </c>
      <c r="O46" s="11">
        <v>0.11</v>
      </c>
      <c r="P46" s="11">
        <v>0.16</v>
      </c>
      <c r="Q46" s="11">
        <v>0.23</v>
      </c>
      <c r="R46" s="11">
        <f t="shared" si="4"/>
        <v>7.0000000000000007E-2</v>
      </c>
      <c r="S46" s="11">
        <f t="shared" si="1"/>
        <v>0.12</v>
      </c>
      <c r="T46" s="11">
        <f t="shared" si="2"/>
        <v>0.17</v>
      </c>
      <c r="U46" s="11">
        <f t="shared" si="3"/>
        <v>0.24</v>
      </c>
    </row>
    <row r="47" spans="1:21" x14ac:dyDescent="0.3">
      <c r="A47" s="2">
        <v>201185</v>
      </c>
      <c r="B47" s="2" t="s">
        <v>52</v>
      </c>
      <c r="C47" s="2" t="s">
        <v>7</v>
      </c>
      <c r="D47" s="2">
        <v>1</v>
      </c>
      <c r="E47" s="2" t="s">
        <v>6</v>
      </c>
      <c r="F47" s="11">
        <v>0.06</v>
      </c>
      <c r="G47" s="11">
        <v>0.09</v>
      </c>
      <c r="H47" s="11">
        <v>0.11</v>
      </c>
      <c r="I47" s="11">
        <v>0.17</v>
      </c>
      <c r="J47" s="11">
        <v>0.06</v>
      </c>
      <c r="K47" s="11">
        <v>0.08</v>
      </c>
      <c r="L47" s="11">
        <v>0.1</v>
      </c>
      <c r="M47" s="11">
        <v>0.14000000000000001</v>
      </c>
      <c r="N47" s="11">
        <v>0.05</v>
      </c>
      <c r="O47" s="11">
        <v>7.0000000000000007E-2</v>
      </c>
      <c r="P47" s="11">
        <v>0.1</v>
      </c>
      <c r="Q47" s="11">
        <v>0.16</v>
      </c>
      <c r="R47" s="11">
        <f t="shared" si="4"/>
        <v>0.06</v>
      </c>
      <c r="S47" s="11">
        <f t="shared" si="1"/>
        <v>0.08</v>
      </c>
      <c r="T47" s="11">
        <f t="shared" si="2"/>
        <v>0.1</v>
      </c>
      <c r="U47" s="11">
        <f t="shared" si="3"/>
        <v>0.16</v>
      </c>
    </row>
    <row r="48" spans="1:21" x14ac:dyDescent="0.3">
      <c r="A48" s="2">
        <v>999813</v>
      </c>
      <c r="B48" s="2" t="s">
        <v>53</v>
      </c>
      <c r="C48" s="2" t="s">
        <v>8</v>
      </c>
      <c r="D48" s="2">
        <v>5</v>
      </c>
      <c r="E48" s="2" t="s">
        <v>1</v>
      </c>
      <c r="F48" s="2">
        <v>0.45645799999999997</v>
      </c>
      <c r="G48" s="2">
        <v>0.206957</v>
      </c>
      <c r="H48" s="2">
        <v>0</v>
      </c>
      <c r="I48" s="2">
        <v>-0.25347199999999998</v>
      </c>
      <c r="J48" s="2">
        <v>0.49660300000000002</v>
      </c>
      <c r="K48" s="2">
        <v>0.24246799999999999</v>
      </c>
      <c r="L48" s="2">
        <v>0</v>
      </c>
      <c r="M48" s="2">
        <v>-0.21886900000000001</v>
      </c>
      <c r="N48" s="2">
        <v>0.57954499999999998</v>
      </c>
      <c r="O48" s="2">
        <v>0.32043899999999997</v>
      </c>
      <c r="P48" s="2">
        <v>0</v>
      </c>
      <c r="Q48" s="2">
        <v>-0.233766</v>
      </c>
      <c r="R48" s="2">
        <f>ROUND(AVERAGE(F48,J48,N48),6)</f>
        <v>0.51086900000000002</v>
      </c>
      <c r="S48" s="2">
        <f t="shared" ref="S48:U48" si="5">ROUND(AVERAGE(G48,K48,O48),6)</f>
        <v>0.25662099999999999</v>
      </c>
      <c r="T48" s="2">
        <f t="shared" si="5"/>
        <v>0</v>
      </c>
      <c r="U48" s="2">
        <f t="shared" si="5"/>
        <v>-0.23536899999999999</v>
      </c>
    </row>
    <row r="49" spans="1:21" x14ac:dyDescent="0.3">
      <c r="A49" s="2">
        <v>999923</v>
      </c>
      <c r="B49" s="2" t="s">
        <v>54</v>
      </c>
      <c r="C49" s="2" t="s">
        <v>8</v>
      </c>
      <c r="D49" s="2">
        <v>5</v>
      </c>
      <c r="E49" s="2" t="s">
        <v>1</v>
      </c>
      <c r="F49" s="2">
        <v>0.385631</v>
      </c>
      <c r="G49" s="2">
        <v>0.19062200000000001</v>
      </c>
      <c r="H49" s="2">
        <v>0</v>
      </c>
      <c r="I49" s="2">
        <v>-0.26267099999999999</v>
      </c>
      <c r="J49" s="2">
        <v>0.42105700000000001</v>
      </c>
      <c r="K49" s="2">
        <v>0.17444499999999999</v>
      </c>
      <c r="L49" s="2">
        <v>0</v>
      </c>
      <c r="M49" s="2">
        <v>-0.179809</v>
      </c>
      <c r="N49" s="2">
        <v>0.39125300000000002</v>
      </c>
      <c r="O49" s="2">
        <v>0.20288400000000001</v>
      </c>
      <c r="P49" s="2">
        <v>0</v>
      </c>
      <c r="Q49" s="2">
        <v>-0.121368</v>
      </c>
      <c r="R49" s="2">
        <f>ROUND(AVERAGE(F49,J49,N49),6)</f>
        <v>0.399314</v>
      </c>
      <c r="S49" s="2">
        <f t="shared" ref="S49" si="6">ROUND(AVERAGE(G49,K49,O49),6)</f>
        <v>0.18931700000000001</v>
      </c>
      <c r="T49" s="2">
        <f t="shared" ref="T49" si="7">ROUND(AVERAGE(H49,L49,P49),6)</f>
        <v>0</v>
      </c>
      <c r="U49" s="2">
        <f t="shared" ref="U49" si="8">ROUND(AVERAGE(I49,M49,Q49),6)</f>
        <v>-0.187949</v>
      </c>
    </row>
    <row r="50" spans="1:21" x14ac:dyDescent="0.3">
      <c r="A50" s="2">
        <v>108009</v>
      </c>
      <c r="B50" s="2" t="s">
        <v>55</v>
      </c>
      <c r="C50" s="2" t="s">
        <v>9</v>
      </c>
      <c r="D50" s="2">
        <v>3</v>
      </c>
      <c r="E50" s="2" t="s">
        <v>6</v>
      </c>
      <c r="F50" s="11">
        <v>0.08</v>
      </c>
      <c r="G50" s="11">
        <v>0.1</v>
      </c>
      <c r="H50" s="11">
        <v>0.11</v>
      </c>
      <c r="I50" s="11">
        <v>0.13</v>
      </c>
      <c r="J50" s="11">
        <v>0.08</v>
      </c>
      <c r="K50" s="11">
        <v>0.1</v>
      </c>
      <c r="L50" s="11">
        <v>0.12</v>
      </c>
      <c r="M50" s="11">
        <v>0.14000000000000001</v>
      </c>
      <c r="N50" s="11">
        <v>7.0000000000000007E-2</v>
      </c>
      <c r="O50" s="11">
        <v>0.09</v>
      </c>
      <c r="P50" s="11">
        <v>0.1</v>
      </c>
      <c r="Q50" s="11">
        <v>0.12</v>
      </c>
      <c r="R50" s="11">
        <f t="shared" si="4"/>
        <v>0.08</v>
      </c>
      <c r="S50" s="11">
        <f t="shared" si="1"/>
        <v>0.1</v>
      </c>
      <c r="T50" s="11">
        <f t="shared" si="2"/>
        <v>0.11</v>
      </c>
      <c r="U50" s="11">
        <f t="shared" si="3"/>
        <v>0.13</v>
      </c>
    </row>
  </sheetData>
  <mergeCells count="4">
    <mergeCell ref="F1:I1"/>
    <mergeCell ref="J1:M1"/>
    <mergeCell ref="N1:Q1"/>
    <mergeCell ref="R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483E-6A8C-4A21-A0B3-E7E5E2EAD41B}">
  <sheetPr filterMode="1">
    <tabColor theme="5" tint="0.59999389629810485"/>
  </sheetPr>
  <dimension ref="A1:AF52"/>
  <sheetViews>
    <sheetView workbookViewId="0">
      <pane xSplit="5" ySplit="1" topLeftCell="F11" activePane="bottomRight" state="frozen"/>
      <selection pane="topRight" activeCell="F1" sqref="F1"/>
      <selection pane="bottomLeft" activeCell="A2" sqref="A2"/>
      <selection pane="bottomRight" activeCell="H11" sqref="H11"/>
    </sheetView>
  </sheetViews>
  <sheetFormatPr defaultRowHeight="13" x14ac:dyDescent="0.3"/>
  <cols>
    <col min="1" max="1" width="4.81640625" style="9" customWidth="1"/>
    <col min="2" max="2" width="10" style="1" customWidth="1"/>
    <col min="3" max="3" width="13.54296875" style="1" customWidth="1"/>
    <col min="4" max="4" width="26.54296875" style="1" customWidth="1"/>
    <col min="5" max="5" width="7.1796875" style="1" customWidth="1"/>
    <col min="6" max="6" width="8.1796875" style="1" customWidth="1"/>
    <col min="7" max="7" width="5.54296875" style="1" customWidth="1"/>
    <col min="8" max="11" width="9.54296875" style="1" bestFit="1" customWidth="1"/>
    <col min="12" max="12" width="5.81640625" style="1" customWidth="1"/>
    <col min="13" max="13" width="7.54296875" style="1" customWidth="1"/>
    <col min="14" max="14" width="10.54296875" style="1" bestFit="1" customWidth="1"/>
    <col min="15" max="15" width="14.453125" style="1" bestFit="1" customWidth="1"/>
    <col min="16" max="16" width="7" style="1" customWidth="1"/>
    <col min="17" max="17" width="14.81640625" style="1" bestFit="1" customWidth="1"/>
    <col min="18" max="16384" width="8.7265625" style="1"/>
  </cols>
  <sheetData>
    <row r="1" spans="1:32" x14ac:dyDescent="0.3">
      <c r="A1" s="9" t="s">
        <v>146</v>
      </c>
      <c r="B1" s="6" t="s">
        <v>69</v>
      </c>
      <c r="C1" s="6" t="s">
        <v>56</v>
      </c>
      <c r="D1" s="6" t="s">
        <v>57</v>
      </c>
      <c r="E1" s="6" t="s">
        <v>59</v>
      </c>
      <c r="F1" s="6" t="s">
        <v>70</v>
      </c>
      <c r="G1" s="6" t="s">
        <v>71</v>
      </c>
      <c r="H1" s="6" t="s">
        <v>116</v>
      </c>
      <c r="I1" s="6" t="s">
        <v>117</v>
      </c>
      <c r="J1" s="6" t="s">
        <v>118</v>
      </c>
      <c r="K1" s="6" t="s">
        <v>119</v>
      </c>
      <c r="L1" s="6" t="s">
        <v>120</v>
      </c>
      <c r="M1" s="6" t="s">
        <v>121</v>
      </c>
      <c r="N1" s="6" t="s">
        <v>122</v>
      </c>
      <c r="O1" s="6" t="s">
        <v>144</v>
      </c>
      <c r="P1" s="6" t="s">
        <v>145</v>
      </c>
      <c r="Q1" s="6" t="s">
        <v>142</v>
      </c>
      <c r="R1" s="30" t="s">
        <v>168</v>
      </c>
      <c r="S1" s="30" t="s">
        <v>174</v>
      </c>
      <c r="T1" s="30" t="s">
        <v>169</v>
      </c>
      <c r="U1" s="30" t="s">
        <v>175</v>
      </c>
      <c r="V1" s="30" t="s">
        <v>170</v>
      </c>
      <c r="W1" s="30" t="s">
        <v>171</v>
      </c>
      <c r="X1" s="30" t="s">
        <v>172</v>
      </c>
      <c r="Y1" s="30" t="s">
        <v>173</v>
      </c>
      <c r="Z1" s="30" t="s">
        <v>176</v>
      </c>
      <c r="AA1" s="30" t="s">
        <v>177</v>
      </c>
      <c r="AB1" s="30" t="s">
        <v>178</v>
      </c>
      <c r="AC1" s="30" t="s">
        <v>179</v>
      </c>
      <c r="AD1" s="30" t="s">
        <v>180</v>
      </c>
      <c r="AE1" s="39" t="s">
        <v>181</v>
      </c>
      <c r="AF1" s="39" t="s">
        <v>182</v>
      </c>
    </row>
    <row r="2" spans="1:32" hidden="1" x14ac:dyDescent="0.3">
      <c r="A2" s="9" t="str">
        <f>B2&amp;C2</f>
        <v>H0123999810</v>
      </c>
      <c r="B2" s="2" t="s">
        <v>123</v>
      </c>
      <c r="C2" s="2">
        <v>999810</v>
      </c>
      <c r="D2" s="2" t="s">
        <v>109</v>
      </c>
      <c r="E2" s="2">
        <v>2</v>
      </c>
      <c r="F2" s="2" t="s">
        <v>0</v>
      </c>
      <c r="G2" s="2" t="s">
        <v>1</v>
      </c>
      <c r="H2" s="7">
        <f>VLOOKUP($C2,CutPoints!$A:$U,18,0)</f>
        <v>0.89</v>
      </c>
      <c r="I2" s="7">
        <f>VLOOKUP($C2,CutPoints!$A:$U,19,0)</f>
        <v>0.87</v>
      </c>
      <c r="J2" s="7">
        <f>VLOOKUP($C2,CutPoints!$A:$U,20,0)</f>
        <v>0.86</v>
      </c>
      <c r="K2" s="7">
        <f>VLOOKUP($C2,CutPoints!$A:$U,21,0)</f>
        <v>0.84</v>
      </c>
      <c r="L2" s="7"/>
      <c r="M2" s="7"/>
      <c r="N2" s="7"/>
      <c r="O2" s="8">
        <v>0.82</v>
      </c>
      <c r="P2" s="7">
        <f t="shared" ref="P2:P10" si="0">IF($G2="H",IF(ROUND(O2,2)&gt;=H2,5,IF(ROUND(O2,2)&gt;=I2,4,IF(ROUND(O2,2)&gt;=J2,3,IF(ROUND(O2,2)&gt;=K2,2,1)))),IF(ROUND(O2,2)&lt;=H2,5,IF(ROUND(O2,2)&lt;=I2,4,IF(ROUND(O2,2)&lt;=J2,3,IF(ROUND(O2,2)&lt;=K2,2,1)))))</f>
        <v>1</v>
      </c>
      <c r="Q2" s="2" t="str">
        <f>IFERROR(VLOOKUP(C2,Thresholds!A:C,3,0), "")</f>
        <v/>
      </c>
      <c r="R2" s="2">
        <f>IFERROR(VLOOKUP($C2,Synthetic!$A:$M,3,0),"")</f>
        <v>0.84199999999999997</v>
      </c>
      <c r="S2" s="2">
        <f>IFERROR(VLOOKUP($C2,Synthetic!$A:$M,6,0),"")</f>
        <v>400</v>
      </c>
      <c r="T2" s="2">
        <f>IFERROR(VLOOKUP($C2,Synthetic!$A:$M,4,0),"")</f>
        <v>0.84799999999999998</v>
      </c>
      <c r="U2" s="2">
        <f>IFERROR(VLOOKUP($C2,Synthetic!$A:$M,7,0),"")</f>
        <v>430</v>
      </c>
      <c r="V2" s="2">
        <f>IFERROR(VLOOKUP($C2,Synthetic!$A:$M,9,0),"")</f>
        <v>0.89764999999999995</v>
      </c>
      <c r="W2" s="2">
        <f>IFERROR(VLOOKUP($C2,Synthetic!$A:$M,10,0),"")</f>
        <v>0.87656999999999996</v>
      </c>
      <c r="X2" s="2">
        <f>IF(AD2&gt;V2,1,IF(AD2&gt;W2,0,-1))</f>
        <v>1</v>
      </c>
      <c r="Y2" s="2">
        <f>IFERROR(VLOOKUP($C2,Synthetic!$A:$M,12,0),"")</f>
        <v>0.93230000000000002</v>
      </c>
      <c r="Z2" s="2">
        <f>U2/(U2+S2)</f>
        <v>0.51807228915662651</v>
      </c>
      <c r="AA2" s="2">
        <f>(U2*T2+S2*R2)/(U2+S2)</f>
        <v>0.84510843373493982</v>
      </c>
      <c r="AB2" s="2">
        <f>LN(AA2/(1-AA2))</f>
        <v>1.6967396434502846</v>
      </c>
      <c r="AC2" s="2">
        <f>EXP(AB2+Y2*Z2)</f>
        <v>8.8439927093260877</v>
      </c>
      <c r="AD2" s="2">
        <f>AC2/(1+AC2)</f>
        <v>0.8984152031062953</v>
      </c>
      <c r="AE2" s="2">
        <f>IFERROR(X2*E2,0)</f>
        <v>2</v>
      </c>
      <c r="AF2" s="2">
        <f>IF(AE2=0,0,E2)</f>
        <v>2</v>
      </c>
    </row>
    <row r="3" spans="1:32" hidden="1" x14ac:dyDescent="0.3">
      <c r="A3" s="9" t="str">
        <f t="shared" ref="A3:A47" si="1">B3&amp;C3</f>
        <v>H0123999811</v>
      </c>
      <c r="B3" s="2" t="s">
        <v>123</v>
      </c>
      <c r="C3" s="2">
        <v>999811</v>
      </c>
      <c r="D3" s="2" t="s">
        <v>110</v>
      </c>
      <c r="E3" s="2">
        <v>2</v>
      </c>
      <c r="F3" s="2" t="s">
        <v>0</v>
      </c>
      <c r="G3" s="2" t="s">
        <v>1</v>
      </c>
      <c r="H3" s="7">
        <f>VLOOKUP($C3,CutPoints!$A:$U,18,0)</f>
        <v>0.91</v>
      </c>
      <c r="I3" s="7">
        <f>VLOOKUP($C3,CutPoints!$A:$U,19,0)</f>
        <v>0.9</v>
      </c>
      <c r="J3" s="7">
        <f>VLOOKUP($C3,CutPoints!$A:$U,20,0)</f>
        <v>0.88</v>
      </c>
      <c r="K3" s="7">
        <f>VLOOKUP($C3,CutPoints!$A:$U,21,0)</f>
        <v>0.87</v>
      </c>
      <c r="L3" s="7"/>
      <c r="M3" s="7"/>
      <c r="N3" s="7"/>
      <c r="O3" s="8">
        <v>0.89</v>
      </c>
      <c r="P3" s="7">
        <f t="shared" si="0"/>
        <v>3</v>
      </c>
      <c r="Q3" s="2" t="str">
        <f>IFERROR(VLOOKUP(C3,Thresholds!A:C,3,0), "")</f>
        <v/>
      </c>
      <c r="R3" s="2">
        <f>IFERROR(VLOOKUP($C3,Synthetic!$A:$M,3,0),"")</f>
        <v>0.11228142809727015</v>
      </c>
      <c r="S3" s="2">
        <f>IFERROR(VLOOKUP($C3,Synthetic!$A:$M,6,0),"")</f>
        <v>251</v>
      </c>
      <c r="T3" s="2">
        <f>IFERROR(VLOOKUP($C3,Synthetic!$A:$M,4,0),"")</f>
        <v>0.5197465612161325</v>
      </c>
      <c r="U3" s="2">
        <f>IFERROR(VLOOKUP($C3,Synthetic!$A:$M,7,0),"")</f>
        <v>437</v>
      </c>
      <c r="V3" s="2">
        <f>IFERROR(VLOOKUP($C3,Synthetic!$A:$M,9,0),"")</f>
        <v>2.2320152005817717E-2</v>
      </c>
      <c r="W3" s="2">
        <f>IFERROR(VLOOKUP($C3,Synthetic!$A:$M,10,0),"")</f>
        <v>1.1090152005817717E-2</v>
      </c>
      <c r="X3" s="2">
        <v>1</v>
      </c>
      <c r="Y3" s="2">
        <f>IFERROR(VLOOKUP($C3,Synthetic!$A:$M,12,0),"")</f>
        <v>0.70906828566016211</v>
      </c>
      <c r="Z3" s="2">
        <f t="shared" ref="Z3:Z23" si="2">U3/(U3+S3)</f>
        <v>0.63517441860465118</v>
      </c>
      <c r="AA3" s="2">
        <f t="shared" ref="AA3:AA23" si="3">(U3*T3+S3*R3)/(U3+S3)</f>
        <v>0.37109285712771034</v>
      </c>
      <c r="AB3" s="2">
        <f t="shared" ref="AB3:AB23" si="4">LN(AA3/(1-AA3))</f>
        <v>-0.52753129916406172</v>
      </c>
      <c r="AC3" s="2">
        <f t="shared" ref="AC3:AC23" si="5">EXP(AB3+Y3*Z3)</f>
        <v>0.92575166275916054</v>
      </c>
      <c r="AD3" s="2">
        <f t="shared" ref="AD3:AD23" si="6">AC3/(1+AC3)</f>
        <v>0.48072224506495853</v>
      </c>
      <c r="AE3" s="2">
        <f t="shared" ref="AE3:AE23" si="7">IFERROR(X3*E3,0)</f>
        <v>2</v>
      </c>
      <c r="AF3" s="2">
        <f t="shared" ref="AF3:AF23" si="8">IF(AE3=0,0,E3)</f>
        <v>2</v>
      </c>
    </row>
    <row r="4" spans="1:32" hidden="1" x14ac:dyDescent="0.3">
      <c r="A4" s="9" t="str">
        <f t="shared" si="1"/>
        <v>H0123999901</v>
      </c>
      <c r="B4" s="2" t="s">
        <v>123</v>
      </c>
      <c r="C4" s="2">
        <v>999901</v>
      </c>
      <c r="D4" s="2" t="s">
        <v>74</v>
      </c>
      <c r="E4" s="2">
        <v>1</v>
      </c>
      <c r="F4" s="2" t="s">
        <v>0</v>
      </c>
      <c r="G4" s="2" t="s">
        <v>1</v>
      </c>
      <c r="H4" s="7">
        <f>VLOOKUP($C4,CutPoints!$A:$U,18,0)</f>
        <v>0.76</v>
      </c>
      <c r="I4" s="7">
        <f>VLOOKUP($C4,CutPoints!$A:$U,19,0)</f>
        <v>0.71</v>
      </c>
      <c r="J4" s="7">
        <f>VLOOKUP($C4,CutPoints!$A:$U,20,0)</f>
        <v>0.64</v>
      </c>
      <c r="K4" s="7">
        <f>VLOOKUP($C4,CutPoints!$A:$U,21,0)</f>
        <v>0.6</v>
      </c>
      <c r="L4" s="7"/>
      <c r="M4" s="7"/>
      <c r="N4" s="7"/>
      <c r="O4" s="8">
        <v>0.61</v>
      </c>
      <c r="P4" s="7">
        <f t="shared" si="0"/>
        <v>2</v>
      </c>
      <c r="Q4" s="2" t="str">
        <f>IFERROR(VLOOKUP(C4,Thresholds!A:C,3,0), "")</f>
        <v/>
      </c>
      <c r="R4" s="2">
        <f>IFERROR(VLOOKUP($C4,Synthetic!$A:$M,3,0),"")</f>
        <v>1.5265874680341796E-2</v>
      </c>
      <c r="S4" s="2">
        <f>IFERROR(VLOOKUP($C4,Synthetic!$A:$M,6,0),"")</f>
        <v>342</v>
      </c>
      <c r="T4" s="2">
        <f>IFERROR(VLOOKUP($C4,Synthetic!$A:$M,4,0),"")</f>
        <v>0.23074254917472514</v>
      </c>
      <c r="U4" s="2">
        <f>IFERROR(VLOOKUP($C4,Synthetic!$A:$M,7,0),"")</f>
        <v>484</v>
      </c>
      <c r="V4" s="2">
        <f>IFERROR(VLOOKUP($C4,Synthetic!$A:$M,9,0),"")</f>
        <v>0.65279442463793569</v>
      </c>
      <c r="W4" s="2">
        <f>IFERROR(VLOOKUP($C4,Synthetic!$A:$M,10,0),"")</f>
        <v>0.64156442463793573</v>
      </c>
      <c r="X4" s="2">
        <f t="shared" ref="X4:X23" si="9">IF(AD4&gt;V4,1,IF(AD4&gt;W4,0,-1))</f>
        <v>-1</v>
      </c>
      <c r="Y4" s="2">
        <f>IFERROR(VLOOKUP($C4,Synthetic!$A:$M,12,0),"")</f>
        <v>0.73038471028240459</v>
      </c>
      <c r="Z4" s="2">
        <f t="shared" si="2"/>
        <v>0.58595641646489105</v>
      </c>
      <c r="AA4" s="2">
        <f t="shared" si="3"/>
        <v>0.14152581469884246</v>
      </c>
      <c r="AB4" s="2">
        <f t="shared" si="4"/>
        <v>-1.8026744738688005</v>
      </c>
      <c r="AC4" s="2">
        <f t="shared" si="5"/>
        <v>0.2529152399388313</v>
      </c>
      <c r="AD4" s="2">
        <f t="shared" si="6"/>
        <v>0.2018614123898588</v>
      </c>
      <c r="AE4" s="2">
        <f t="shared" si="7"/>
        <v>-1</v>
      </c>
      <c r="AF4" s="2">
        <f t="shared" si="8"/>
        <v>1</v>
      </c>
    </row>
    <row r="5" spans="1:32" hidden="1" x14ac:dyDescent="0.3">
      <c r="A5" s="9" t="str">
        <f t="shared" si="1"/>
        <v>H0123999911</v>
      </c>
      <c r="B5" s="2" t="s">
        <v>123</v>
      </c>
      <c r="C5" s="2">
        <v>999911</v>
      </c>
      <c r="D5" s="2" t="s">
        <v>93</v>
      </c>
      <c r="E5" s="2">
        <v>2</v>
      </c>
      <c r="F5" s="2" t="s">
        <v>0</v>
      </c>
      <c r="G5" s="2" t="s">
        <v>1</v>
      </c>
      <c r="H5" s="7">
        <f>VLOOKUP($C5,CutPoints!$A:$U,18,0)</f>
        <v>0.83</v>
      </c>
      <c r="I5" s="7">
        <f>VLOOKUP($C5,CutPoints!$A:$U,19,0)</f>
        <v>0.82</v>
      </c>
      <c r="J5" s="7">
        <f>VLOOKUP($C5,CutPoints!$A:$U,20,0)</f>
        <v>0.79</v>
      </c>
      <c r="K5" s="7">
        <f>VLOOKUP($C5,CutPoints!$A:$U,21,0)</f>
        <v>0.77</v>
      </c>
      <c r="L5" s="7"/>
      <c r="M5" s="7"/>
      <c r="N5" s="7"/>
      <c r="O5" s="8">
        <v>0.83</v>
      </c>
      <c r="P5" s="7">
        <f t="shared" si="0"/>
        <v>5</v>
      </c>
      <c r="Q5" s="2" t="str">
        <f>IFERROR(VLOOKUP(C5,Thresholds!A:C,3,0), "")</f>
        <v/>
      </c>
      <c r="R5" s="2">
        <f>IFERROR(VLOOKUP($C5,Synthetic!$A:$M,3,0),"")</f>
        <v>0.95874411842094431</v>
      </c>
      <c r="S5" s="2">
        <f>IFERROR(VLOOKUP($C5,Synthetic!$A:$M,6,0),"")</f>
        <v>224</v>
      </c>
      <c r="T5" s="2">
        <f>IFERROR(VLOOKUP($C5,Synthetic!$A:$M,4,0),"")</f>
        <v>0.61110453518306074</v>
      </c>
      <c r="U5" s="2">
        <f>IFERROR(VLOOKUP($C5,Synthetic!$A:$M,7,0),"")</f>
        <v>430</v>
      </c>
      <c r="V5" s="2">
        <f>IFERROR(VLOOKUP($C5,Synthetic!$A:$M,9,0),"")</f>
        <v>0.27857366231184821</v>
      </c>
      <c r="W5" s="2">
        <f>IFERROR(VLOOKUP($C5,Synthetic!$A:$M,10,0),"")</f>
        <v>0.2673436623118482</v>
      </c>
      <c r="X5" s="2">
        <f t="shared" si="9"/>
        <v>1</v>
      </c>
      <c r="Y5" s="2">
        <f>IFERROR(VLOOKUP($C5,Synthetic!$A:$M,12,0),"")</f>
        <v>0.3881308276306451</v>
      </c>
      <c r="Z5" s="2">
        <f t="shared" si="2"/>
        <v>0.65749235474006118</v>
      </c>
      <c r="AA5" s="2">
        <f t="shared" si="3"/>
        <v>0.7301737502370147</v>
      </c>
      <c r="AB5" s="2">
        <f t="shared" si="4"/>
        <v>0.99550428739035712</v>
      </c>
      <c r="AC5" s="2">
        <f t="shared" si="5"/>
        <v>3.4927777592577902</v>
      </c>
      <c r="AD5" s="2">
        <f t="shared" si="6"/>
        <v>0.77742055058490123</v>
      </c>
      <c r="AE5" s="2">
        <f t="shared" si="7"/>
        <v>2</v>
      </c>
      <c r="AF5" s="2">
        <f t="shared" si="8"/>
        <v>2</v>
      </c>
    </row>
    <row r="6" spans="1:32" hidden="1" x14ac:dyDescent="0.3">
      <c r="A6" s="9" t="str">
        <f t="shared" si="1"/>
        <v>H0123999912</v>
      </c>
      <c r="B6" s="2" t="s">
        <v>123</v>
      </c>
      <c r="C6" s="2">
        <v>999912</v>
      </c>
      <c r="D6" s="2" t="s">
        <v>94</v>
      </c>
      <c r="E6" s="2">
        <v>2</v>
      </c>
      <c r="F6" s="2" t="s">
        <v>0</v>
      </c>
      <c r="G6" s="2" t="s">
        <v>1</v>
      </c>
      <c r="H6" s="7">
        <f>VLOOKUP($C6,CutPoints!$A:$U,18,0)</f>
        <v>0.84</v>
      </c>
      <c r="I6" s="7">
        <f>VLOOKUP($C6,CutPoints!$A:$U,19,0)</f>
        <v>0.82</v>
      </c>
      <c r="J6" s="7">
        <f>VLOOKUP($C6,CutPoints!$A:$U,20,0)</f>
        <v>0.8</v>
      </c>
      <c r="K6" s="7">
        <f>VLOOKUP($C6,CutPoints!$A:$U,21,0)</f>
        <v>0.78</v>
      </c>
      <c r="L6" s="7"/>
      <c r="M6" s="7"/>
      <c r="N6" s="7"/>
      <c r="O6" s="8">
        <v>0.91</v>
      </c>
      <c r="P6" s="7">
        <f t="shared" si="0"/>
        <v>5</v>
      </c>
      <c r="Q6" s="2" t="str">
        <f>IFERROR(VLOOKUP(C6,Thresholds!A:C,3,0), "")</f>
        <v/>
      </c>
      <c r="R6" s="2" t="str">
        <f>IFERROR(VLOOKUP($C6,Synthetic!$A:$M,3,0),"")</f>
        <v/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>
        <f t="shared" si="7"/>
        <v>0</v>
      </c>
      <c r="AF6" s="2">
        <f t="shared" si="8"/>
        <v>0</v>
      </c>
    </row>
    <row r="7" spans="1:32" hidden="1" x14ac:dyDescent="0.3">
      <c r="A7" s="9" t="str">
        <f t="shared" si="1"/>
        <v>H0123999913</v>
      </c>
      <c r="B7" s="2" t="s">
        <v>123</v>
      </c>
      <c r="C7" s="2">
        <v>999913</v>
      </c>
      <c r="D7" s="2" t="s">
        <v>95</v>
      </c>
      <c r="E7" s="2">
        <v>2</v>
      </c>
      <c r="F7" s="2" t="s">
        <v>0</v>
      </c>
      <c r="G7" s="2" t="s">
        <v>1</v>
      </c>
      <c r="H7" s="7">
        <f>VLOOKUP($C7,CutPoints!$A:$U,18,0)</f>
        <v>0.92</v>
      </c>
      <c r="I7" s="7">
        <f>VLOOKUP($C7,CutPoints!$A:$U,19,0)</f>
        <v>0.91</v>
      </c>
      <c r="J7" s="7">
        <f>VLOOKUP($C7,CutPoints!$A:$U,20,0)</f>
        <v>0.89</v>
      </c>
      <c r="K7" s="7">
        <f>VLOOKUP($C7,CutPoints!$A:$U,21,0)</f>
        <v>0.88</v>
      </c>
      <c r="L7" s="7"/>
      <c r="M7" s="7"/>
      <c r="N7" s="7"/>
      <c r="O7" s="8">
        <v>0.9</v>
      </c>
      <c r="P7" s="7">
        <f t="shared" si="0"/>
        <v>3</v>
      </c>
      <c r="Q7" s="2" t="str">
        <f>IFERROR(VLOOKUP(C7,Thresholds!A:C,3,0), "")</f>
        <v/>
      </c>
      <c r="R7" s="2" t="str">
        <f>IFERROR(VLOOKUP($C7,Synthetic!$A:$M,3,0),"")</f>
        <v/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>
        <f t="shared" si="7"/>
        <v>0</v>
      </c>
      <c r="AF7" s="2">
        <f t="shared" si="8"/>
        <v>0</v>
      </c>
    </row>
    <row r="8" spans="1:32" hidden="1" x14ac:dyDescent="0.3">
      <c r="A8" s="9" t="str">
        <f t="shared" si="1"/>
        <v>H0123999914</v>
      </c>
      <c r="B8" s="2" t="s">
        <v>123</v>
      </c>
      <c r="C8" s="2">
        <v>999914</v>
      </c>
      <c r="D8" s="2" t="s">
        <v>96</v>
      </c>
      <c r="E8" s="2">
        <v>2</v>
      </c>
      <c r="F8" s="2" t="s">
        <v>0</v>
      </c>
      <c r="G8" s="2" t="s">
        <v>1</v>
      </c>
      <c r="H8" s="7">
        <f>VLOOKUP($C8,CutPoints!$A:$U,18,0)</f>
        <v>0.88</v>
      </c>
      <c r="I8" s="7">
        <f>VLOOKUP($C8,CutPoints!$A:$U,19,0)</f>
        <v>0.87</v>
      </c>
      <c r="J8" s="7">
        <f>VLOOKUP($C8,CutPoints!$A:$U,20,0)</f>
        <v>0.85</v>
      </c>
      <c r="K8" s="7">
        <f>VLOOKUP($C8,CutPoints!$A:$U,21,0)</f>
        <v>0.84</v>
      </c>
      <c r="L8" s="7"/>
      <c r="M8" s="7"/>
      <c r="N8" s="7"/>
      <c r="O8" s="8">
        <v>0.88</v>
      </c>
      <c r="P8" s="7">
        <f t="shared" si="0"/>
        <v>5</v>
      </c>
      <c r="Q8" s="2" t="str">
        <f>IFERROR(VLOOKUP(C8,Thresholds!A:C,3,0), "")</f>
        <v/>
      </c>
      <c r="R8" s="2" t="str">
        <f>IFERROR(VLOOKUP($C8,Synthetic!$A:$M,3,0),"")</f>
        <v/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>
        <f t="shared" si="7"/>
        <v>0</v>
      </c>
      <c r="AF8" s="2">
        <f t="shared" si="8"/>
        <v>0</v>
      </c>
    </row>
    <row r="9" spans="1:32" hidden="1" x14ac:dyDescent="0.3">
      <c r="A9" s="9" t="str">
        <f t="shared" si="1"/>
        <v>H0123999915</v>
      </c>
      <c r="B9" s="2" t="s">
        <v>123</v>
      </c>
      <c r="C9" s="2">
        <v>999915</v>
      </c>
      <c r="D9" s="2" t="s">
        <v>97</v>
      </c>
      <c r="E9" s="2">
        <v>2</v>
      </c>
      <c r="F9" s="2" t="s">
        <v>0</v>
      </c>
      <c r="G9" s="2" t="s">
        <v>1</v>
      </c>
      <c r="H9" s="7">
        <f>VLOOKUP($C9,CutPoints!$A:$U,18,0)</f>
        <v>0.89</v>
      </c>
      <c r="I9" s="7">
        <f>VLOOKUP($C9,CutPoints!$A:$U,19,0)</f>
        <v>0.88</v>
      </c>
      <c r="J9" s="7">
        <f>VLOOKUP($C9,CutPoints!$A:$U,20,0)</f>
        <v>0.85</v>
      </c>
      <c r="K9" s="7">
        <f>VLOOKUP($C9,CutPoints!$A:$U,21,0)</f>
        <v>0.84</v>
      </c>
      <c r="L9" s="7"/>
      <c r="M9" s="7"/>
      <c r="N9" s="7"/>
      <c r="O9" s="8">
        <v>0.86</v>
      </c>
      <c r="P9" s="7">
        <f t="shared" si="0"/>
        <v>3</v>
      </c>
      <c r="Q9" s="2" t="str">
        <f>IFERROR(VLOOKUP(C9,Thresholds!A:C,3,0), "")</f>
        <v/>
      </c>
      <c r="R9" s="2">
        <f>IFERROR(VLOOKUP($C9,Synthetic!$A:$M,3,0),"")</f>
        <v>0.49820269931273053</v>
      </c>
      <c r="S9" s="2">
        <f>IFERROR(VLOOKUP($C9,Synthetic!$A:$M,6,0),"")</f>
        <v>259</v>
      </c>
      <c r="T9" s="2">
        <f>IFERROR(VLOOKUP($C9,Synthetic!$A:$M,4,0),"")</f>
        <v>0.62447198051136599</v>
      </c>
      <c r="U9" s="2">
        <f>IFERROR(VLOOKUP($C9,Synthetic!$A:$M,7,0),"")</f>
        <v>494</v>
      </c>
      <c r="V9" s="2">
        <f>IFERROR(VLOOKUP($C9,Synthetic!$A:$M,9,0),"")</f>
        <v>0.53052463038931164</v>
      </c>
      <c r="W9" s="2">
        <f>IFERROR(VLOOKUP($C9,Synthetic!$A:$M,10,0),"")</f>
        <v>0.51929463038931167</v>
      </c>
      <c r="X9" s="2">
        <f t="shared" si="9"/>
        <v>1</v>
      </c>
      <c r="Y9" s="2">
        <f>IFERROR(VLOOKUP($C9,Synthetic!$A:$M,12,0),"")</f>
        <v>0.66290992734396703</v>
      </c>
      <c r="Z9" s="2">
        <f t="shared" si="2"/>
        <v>0.65604249667994685</v>
      </c>
      <c r="AA9" s="2">
        <f t="shared" si="3"/>
        <v>0.58104071380426559</v>
      </c>
      <c r="AB9" s="2">
        <f t="shared" si="4"/>
        <v>0.32704708357435186</v>
      </c>
      <c r="AC9" s="2">
        <f t="shared" si="5"/>
        <v>2.1424374311148462</v>
      </c>
      <c r="AD9" s="2">
        <f t="shared" si="6"/>
        <v>0.68177568466487215</v>
      </c>
      <c r="AE9" s="2">
        <f t="shared" si="7"/>
        <v>2</v>
      </c>
      <c r="AF9" s="2">
        <f t="shared" si="8"/>
        <v>2</v>
      </c>
    </row>
    <row r="10" spans="1:32" hidden="1" x14ac:dyDescent="0.3">
      <c r="A10" s="9" t="str">
        <f t="shared" si="1"/>
        <v>H0123999922</v>
      </c>
      <c r="B10" s="2" t="s">
        <v>123</v>
      </c>
      <c r="C10" s="2">
        <v>999922</v>
      </c>
      <c r="D10" s="2" t="s">
        <v>98</v>
      </c>
      <c r="E10" s="2">
        <v>2</v>
      </c>
      <c r="F10" s="2" t="s">
        <v>0</v>
      </c>
      <c r="G10" s="2" t="s">
        <v>1</v>
      </c>
      <c r="H10" s="7">
        <f>VLOOKUP($C10,CutPoints!$A:$U,18,0)</f>
        <v>0.9</v>
      </c>
      <c r="I10" s="7">
        <f>VLOOKUP($C10,CutPoints!$A:$U,19,0)</f>
        <v>0.87</v>
      </c>
      <c r="J10" s="7">
        <f>VLOOKUP($C10,CutPoints!$A:$U,20,0)</f>
        <v>0.85</v>
      </c>
      <c r="K10" s="7">
        <f>VLOOKUP($C10,CutPoints!$A:$U,21,0)</f>
        <v>0.84</v>
      </c>
      <c r="L10" s="7"/>
      <c r="M10" s="7"/>
      <c r="N10" s="7"/>
      <c r="O10" s="8">
        <v>0.87</v>
      </c>
      <c r="P10" s="7">
        <f t="shared" si="0"/>
        <v>4</v>
      </c>
      <c r="Q10" s="2" t="str">
        <f>IFERROR(VLOOKUP(C10,Thresholds!A:C,3,0), "")</f>
        <v/>
      </c>
      <c r="R10" s="2">
        <f>IFERROR(VLOOKUP($C10,Synthetic!$A:$M,3,0),"")</f>
        <v>0.89561684445520695</v>
      </c>
      <c r="S10" s="2">
        <f>IFERROR(VLOOKUP($C10,Synthetic!$A:$M,6,0),"")</f>
        <v>259</v>
      </c>
      <c r="T10" s="2">
        <f>IFERROR(VLOOKUP($C10,Synthetic!$A:$M,4,0),"")</f>
        <v>0.16113843916994453</v>
      </c>
      <c r="U10" s="2">
        <f>IFERROR(VLOOKUP($C10,Synthetic!$A:$M,7,0),"")</f>
        <v>439</v>
      </c>
      <c r="V10" s="2">
        <f>IFERROR(VLOOKUP($C10,Synthetic!$A:$M,9,0),"")</f>
        <v>0.76090000000000002</v>
      </c>
      <c r="W10" s="2">
        <f>IFERROR(VLOOKUP($C10,Synthetic!$A:$M,10,0),"")</f>
        <v>0.72341999999999995</v>
      </c>
      <c r="X10" s="2">
        <f t="shared" si="9"/>
        <v>-1</v>
      </c>
      <c r="Y10" s="2">
        <v>0.37</v>
      </c>
      <c r="Z10" s="2">
        <f t="shared" si="2"/>
        <v>0.62893982808022919</v>
      </c>
      <c r="AA10" s="2">
        <f t="shared" si="3"/>
        <v>0.43367412250645304</v>
      </c>
      <c r="AB10" s="2">
        <f t="shared" si="4"/>
        <v>-0.26687628555296883</v>
      </c>
      <c r="AC10" s="2">
        <f t="shared" si="5"/>
        <v>0.96640860354795266</v>
      </c>
      <c r="AD10" s="2">
        <f t="shared" si="6"/>
        <v>0.49145869368364259</v>
      </c>
      <c r="AE10" s="2">
        <v>2</v>
      </c>
      <c r="AF10" s="2">
        <f t="shared" si="8"/>
        <v>2</v>
      </c>
    </row>
    <row r="11" spans="1:32" x14ac:dyDescent="0.3">
      <c r="A11" s="9" t="str">
        <f t="shared" si="1"/>
        <v>H0123101803</v>
      </c>
      <c r="B11" s="2" t="s">
        <v>123</v>
      </c>
      <c r="C11" s="2">
        <v>101803</v>
      </c>
      <c r="D11" s="2" t="s">
        <v>85</v>
      </c>
      <c r="E11" s="2">
        <v>3</v>
      </c>
      <c r="F11" s="2" t="s">
        <v>2</v>
      </c>
      <c r="G11" s="2" t="s">
        <v>1</v>
      </c>
      <c r="H11" s="7">
        <f>VLOOKUP($C11,CutPoints!$A:$U,18,0)</f>
        <v>0.84</v>
      </c>
      <c r="I11" s="7">
        <f>VLOOKUP($C11,CutPoints!$A:$U,19,0)</f>
        <v>0.78</v>
      </c>
      <c r="J11" s="7">
        <f>VLOOKUP($C11,CutPoints!$A:$U,20,0)</f>
        <v>0.72</v>
      </c>
      <c r="K11" s="7">
        <f>VLOOKUP($C11,CutPoints!$A:$U,21,0)</f>
        <v>0.65</v>
      </c>
      <c r="L11" s="7">
        <v>650</v>
      </c>
      <c r="M11" s="7">
        <v>812</v>
      </c>
      <c r="N11" s="7"/>
      <c r="O11" s="8">
        <f t="shared" ref="O11:O23" si="10">L11/M11</f>
        <v>0.80049261083743839</v>
      </c>
      <c r="P11" s="7">
        <f>IF(M11&gt;=Q11, IF($G11="H",IF(ROUND(O11,2)&gt;=H11,5,IF(ROUND(O11,2)&gt;=I11,4,IF(ROUND(O11,2)&gt;=J11,3,IF(ROUND(O11,2)&gt;=K11,2,1)))),IF(ROUND(O11,2)&lt;=H11,5,IF(ROUND(O11,2)&lt;=I11,4,IF(ROUND(O11,2)&lt;=J11,3,IF(ROUND(O11,2)&lt;=K11,2,1))))), "NR")</f>
        <v>4</v>
      </c>
      <c r="Q11" s="2">
        <f>IFERROR(VLOOKUP(C11,Thresholds!A:C,3,0), "")</f>
        <v>30</v>
      </c>
      <c r="R11" s="2">
        <f>IFERROR(VLOOKUP($C11,Synthetic!$A:$M,3,0),"")</f>
        <v>0.26478043379555016</v>
      </c>
      <c r="S11" s="2">
        <f>IFERROR(VLOOKUP($C11,Synthetic!$A:$M,6,0),"")</f>
        <v>305</v>
      </c>
      <c r="T11" s="2">
        <f>IFERROR(VLOOKUP($C11,Synthetic!$A:$M,4,0),"")</f>
        <v>0.70290640449937136</v>
      </c>
      <c r="U11" s="2">
        <f>IFERROR(VLOOKUP($C11,Synthetic!$A:$M,7,0),"")</f>
        <v>402</v>
      </c>
      <c r="V11" s="2">
        <f>IFERROR(VLOOKUP($C11,Synthetic!$A:$M,9,0),"")</f>
        <v>0.52002982973306122</v>
      </c>
      <c r="W11" s="2">
        <f>IFERROR(VLOOKUP($C11,Synthetic!$A:$M,10,0),"")</f>
        <v>0.50879982973306126</v>
      </c>
      <c r="X11" s="2">
        <f t="shared" si="9"/>
        <v>1</v>
      </c>
      <c r="Y11" s="2">
        <f>IFERROR(VLOOKUP($C11,Synthetic!$A:$M,12,0),"")</f>
        <v>0.62742444236455874</v>
      </c>
      <c r="Z11" s="2">
        <f t="shared" si="2"/>
        <v>0.56859971711456858</v>
      </c>
      <c r="AA11" s="2">
        <f t="shared" si="3"/>
        <v>0.51389873679828857</v>
      </c>
      <c r="AB11" s="2">
        <f t="shared" si="4"/>
        <v>5.560927323225219E-2</v>
      </c>
      <c r="AC11" s="2">
        <f t="shared" si="5"/>
        <v>1.5103820524197731</v>
      </c>
      <c r="AD11" s="2">
        <f t="shared" si="6"/>
        <v>0.60165425854758092</v>
      </c>
      <c r="AE11" s="2">
        <f t="shared" si="7"/>
        <v>3</v>
      </c>
      <c r="AF11" s="2">
        <f t="shared" si="8"/>
        <v>3</v>
      </c>
    </row>
    <row r="12" spans="1:32" hidden="1" x14ac:dyDescent="0.3">
      <c r="A12" s="9" t="str">
        <f t="shared" si="1"/>
        <v>H0123104201</v>
      </c>
      <c r="B12" s="2" t="s">
        <v>123</v>
      </c>
      <c r="C12" s="2">
        <v>104201</v>
      </c>
      <c r="D12" s="2" t="s">
        <v>81</v>
      </c>
      <c r="E12" s="2">
        <v>1</v>
      </c>
      <c r="F12" s="2" t="s">
        <v>2</v>
      </c>
      <c r="G12" s="2" t="s">
        <v>1</v>
      </c>
      <c r="H12" s="7">
        <f>VLOOKUP($C12,CutPoints!$A:$U,18,0)</f>
        <v>0.69</v>
      </c>
      <c r="I12" s="7">
        <f>VLOOKUP($C12,CutPoints!$A:$U,19,0)</f>
        <v>0.52</v>
      </c>
      <c r="J12" s="7">
        <f>VLOOKUP($C12,CutPoints!$A:$U,20,0)</f>
        <v>0.4</v>
      </c>
      <c r="K12" s="7">
        <f>VLOOKUP($C12,CutPoints!$A:$U,21,0)</f>
        <v>0.28999999999999998</v>
      </c>
      <c r="L12" s="7">
        <v>247</v>
      </c>
      <c r="M12" s="7">
        <v>747</v>
      </c>
      <c r="N12" s="7"/>
      <c r="O12" s="8">
        <f t="shared" si="10"/>
        <v>0.33065595716198126</v>
      </c>
      <c r="P12" s="7">
        <f t="shared" ref="P12:P23" si="11">IF(M12&gt;=Q12, IF($G12="H",IF(ROUND(O12,2)&gt;=H12,5,IF(ROUND(O12,2)&gt;=I12,4,IF(ROUND(O12,2)&gt;=J12,3,IF(ROUND(O12,2)&gt;=K12,2,1)))),IF(ROUND(O12,2)&lt;=H12,5,IF(ROUND(O12,2)&lt;=I12,4,IF(ROUND(O12,2)&lt;=J12,3,IF(ROUND(O12,2)&lt;=K12,2,1))))), "NR")</f>
        <v>2</v>
      </c>
      <c r="Q12" s="2">
        <f>IFERROR(VLOOKUP(C12,Thresholds!A:C,3,0), "")</f>
        <v>30</v>
      </c>
      <c r="R12" s="2">
        <f>IFERROR(VLOOKUP($C12,Synthetic!$A:$M,3,0),"")</f>
        <v>0.79851196666583579</v>
      </c>
      <c r="S12" s="2">
        <f>IFERROR(VLOOKUP($C12,Synthetic!$A:$M,6,0),"")</f>
        <v>302</v>
      </c>
      <c r="T12" s="2">
        <f>IFERROR(VLOOKUP($C12,Synthetic!$A:$M,4,0),"")</f>
        <v>0.69081743274656915</v>
      </c>
      <c r="U12" s="2">
        <f>IFERROR(VLOOKUP($C12,Synthetic!$A:$M,7,0),"")</f>
        <v>457</v>
      </c>
      <c r="V12" s="2">
        <f>IFERROR(VLOOKUP($C12,Synthetic!$A:$M,9,0),"")</f>
        <v>0.97358982684939743</v>
      </c>
      <c r="W12" s="2">
        <f>IFERROR(VLOOKUP($C12,Synthetic!$A:$M,10,0),"")</f>
        <v>0.96235982684939747</v>
      </c>
      <c r="X12" s="2">
        <f t="shared" si="9"/>
        <v>-1</v>
      </c>
      <c r="Y12" s="2">
        <f>IFERROR(VLOOKUP($C12,Synthetic!$A:$M,12,0),"")</f>
        <v>0.87432379675838634</v>
      </c>
      <c r="Z12" s="2">
        <f t="shared" si="2"/>
        <v>0.60210803689064563</v>
      </c>
      <c r="AA12" s="2">
        <f t="shared" si="3"/>
        <v>0.73366822226385309</v>
      </c>
      <c r="AB12" s="2">
        <f t="shared" si="4"/>
        <v>1.0133140968705492</v>
      </c>
      <c r="AC12" s="2">
        <f t="shared" si="5"/>
        <v>4.663431179180475</v>
      </c>
      <c r="AD12" s="2">
        <f t="shared" si="6"/>
        <v>0.82342859507569677</v>
      </c>
      <c r="AE12" s="2">
        <v>1</v>
      </c>
      <c r="AF12" s="2">
        <f t="shared" si="8"/>
        <v>1</v>
      </c>
    </row>
    <row r="13" spans="1:32" hidden="1" x14ac:dyDescent="0.3">
      <c r="A13" s="9" t="str">
        <f t="shared" si="1"/>
        <v>H0123107125</v>
      </c>
      <c r="B13" s="2" t="s">
        <v>123</v>
      </c>
      <c r="C13" s="2">
        <v>107125</v>
      </c>
      <c r="D13" s="2" t="s">
        <v>79</v>
      </c>
      <c r="E13" s="2">
        <v>1</v>
      </c>
      <c r="F13" s="2" t="s">
        <v>2</v>
      </c>
      <c r="G13" s="2" t="s">
        <v>1</v>
      </c>
      <c r="H13" s="7">
        <f>VLOOKUP($C13,CutPoints!$A:$U,18,0)</f>
        <v>0.98</v>
      </c>
      <c r="I13" s="7">
        <f>VLOOKUP($C13,CutPoints!$A:$U,19,0)</f>
        <v>0.91</v>
      </c>
      <c r="J13" s="7">
        <f>VLOOKUP($C13,CutPoints!$A:$U,20,0)</f>
        <v>0.8</v>
      </c>
      <c r="K13" s="7">
        <f>VLOOKUP($C13,CutPoints!$A:$U,21,0)</f>
        <v>0.53</v>
      </c>
      <c r="L13" s="7">
        <v>839</v>
      </c>
      <c r="M13" s="7">
        <v>847</v>
      </c>
      <c r="N13" s="7"/>
      <c r="O13" s="8">
        <f t="shared" si="10"/>
        <v>0.99055489964580878</v>
      </c>
      <c r="P13" s="7">
        <f t="shared" si="11"/>
        <v>5</v>
      </c>
      <c r="Q13" s="2">
        <f>IFERROR(VLOOKUP(C13,Thresholds!A:C,3,0), "")</f>
        <v>30</v>
      </c>
      <c r="R13" s="2">
        <f>IFERROR(VLOOKUP($C13,Synthetic!$A:$M,3,0),"")</f>
        <v>0.76111141527330428</v>
      </c>
      <c r="S13" s="2">
        <f>IFERROR(VLOOKUP($C13,Synthetic!$A:$M,6,0),"")</f>
        <v>273</v>
      </c>
      <c r="T13" s="2">
        <f>IFERROR(VLOOKUP($C13,Synthetic!$A:$M,4,0),"")</f>
        <v>7.3470908901160814E-2</v>
      </c>
      <c r="U13" s="2">
        <f>IFERROR(VLOOKUP($C13,Synthetic!$A:$M,7,0),"")</f>
        <v>491</v>
      </c>
      <c r="V13" s="2">
        <f>IFERROR(VLOOKUP($C13,Synthetic!$A:$M,9,0),"")</f>
        <v>0.61751972044690684</v>
      </c>
      <c r="W13" s="2">
        <f>IFERROR(VLOOKUP($C13,Synthetic!$A:$M,10,0),"")</f>
        <v>0.60628972044690688</v>
      </c>
      <c r="X13" s="2">
        <f t="shared" si="9"/>
        <v>-1</v>
      </c>
      <c r="Y13" s="2">
        <f>IFERROR(VLOOKUP($C13,Synthetic!$A:$M,12,0),"")</f>
        <v>1.2363198255509689E-2</v>
      </c>
      <c r="Z13" s="2">
        <f t="shared" si="2"/>
        <v>0.64267015706806285</v>
      </c>
      <c r="AA13" s="2">
        <f t="shared" si="3"/>
        <v>0.31918538303675659</v>
      </c>
      <c r="AB13" s="2">
        <f t="shared" si="4"/>
        <v>-0.75751797526793418</v>
      </c>
      <c r="AC13" s="2">
        <f t="shared" si="5"/>
        <v>0.47256852471902527</v>
      </c>
      <c r="AD13" s="2">
        <f t="shared" si="6"/>
        <v>0.32091445442866173</v>
      </c>
      <c r="AE13" s="2">
        <f t="shared" si="7"/>
        <v>-1</v>
      </c>
      <c r="AF13" s="2">
        <f t="shared" si="8"/>
        <v>1</v>
      </c>
    </row>
    <row r="14" spans="1:32" hidden="1" x14ac:dyDescent="0.3">
      <c r="A14" s="9" t="str">
        <f t="shared" si="1"/>
        <v>H0123107126</v>
      </c>
      <c r="B14" s="2" t="s">
        <v>123</v>
      </c>
      <c r="C14" s="2">
        <v>107126</v>
      </c>
      <c r="D14" s="2" t="s">
        <v>147</v>
      </c>
      <c r="E14" s="2">
        <v>1</v>
      </c>
      <c r="F14" s="2" t="s">
        <v>2</v>
      </c>
      <c r="G14" s="2" t="s">
        <v>1</v>
      </c>
      <c r="H14" s="7">
        <f>VLOOKUP($C14,CutPoints!$A:$U,18,0)</f>
        <v>0.93</v>
      </c>
      <c r="I14" s="7">
        <f>VLOOKUP($C14,CutPoints!$A:$U,19,0)</f>
        <v>0.8</v>
      </c>
      <c r="J14" s="7">
        <f>VLOOKUP($C14,CutPoints!$A:$U,20,0)</f>
        <v>0.67</v>
      </c>
      <c r="K14" s="7">
        <f>VLOOKUP($C14,CutPoints!$A:$U,21,0)</f>
        <v>0.48</v>
      </c>
      <c r="L14" s="7">
        <v>889</v>
      </c>
      <c r="M14" s="7">
        <v>898</v>
      </c>
      <c r="N14" s="7"/>
      <c r="O14" s="8">
        <f t="shared" si="10"/>
        <v>0.98997772828507791</v>
      </c>
      <c r="P14" s="7" t="str">
        <f t="shared" si="11"/>
        <v>NR</v>
      </c>
      <c r="Q14" s="2" t="str">
        <f>IFERROR(VLOOKUP(C14,Thresholds!A:C,3,0), "")</f>
        <v/>
      </c>
      <c r="R14" s="2">
        <f>IFERROR(VLOOKUP($C14,Synthetic!$A:$M,3,0),"")</f>
        <v>0.80954242075627258</v>
      </c>
      <c r="S14" s="2">
        <f>IFERROR(VLOOKUP($C14,Synthetic!$A:$M,6,0),"")</f>
        <v>296</v>
      </c>
      <c r="T14" s="2">
        <f>IFERROR(VLOOKUP($C14,Synthetic!$A:$M,4,0),"")</f>
        <v>0.43134903230540544</v>
      </c>
      <c r="U14" s="2">
        <f>IFERROR(VLOOKUP($C14,Synthetic!$A:$M,7,0),"")</f>
        <v>494</v>
      </c>
      <c r="V14" s="2">
        <f>IFERROR(VLOOKUP($C14,Synthetic!$A:$M,9,0),"")</f>
        <v>0.54761030219120876</v>
      </c>
      <c r="W14" s="2">
        <f>IFERROR(VLOOKUP($C14,Synthetic!$A:$M,10,0),"")</f>
        <v>0.5363803021912088</v>
      </c>
      <c r="X14" s="2">
        <f t="shared" si="9"/>
        <v>1</v>
      </c>
      <c r="Y14" s="2">
        <f>IFERROR(VLOOKUP($C14,Synthetic!$A:$M,12,0),"")</f>
        <v>0.48822612996915604</v>
      </c>
      <c r="Z14" s="2">
        <f t="shared" si="2"/>
        <v>0.62531645569620253</v>
      </c>
      <c r="AA14" s="2">
        <f t="shared" si="3"/>
        <v>0.5730518715224393</v>
      </c>
      <c r="AB14" s="2">
        <f t="shared" si="4"/>
        <v>0.29431371196047179</v>
      </c>
      <c r="AC14" s="2">
        <f t="shared" si="5"/>
        <v>1.8214074841105949</v>
      </c>
      <c r="AD14" s="2">
        <f t="shared" si="6"/>
        <v>0.64556697122562767</v>
      </c>
      <c r="AE14" s="2">
        <f t="shared" si="7"/>
        <v>1</v>
      </c>
      <c r="AF14" s="2">
        <f t="shared" si="8"/>
        <v>1</v>
      </c>
    </row>
    <row r="15" spans="1:32" hidden="1" x14ac:dyDescent="0.3">
      <c r="A15" s="9" t="str">
        <f t="shared" si="1"/>
        <v>H0123201507</v>
      </c>
      <c r="B15" s="2" t="s">
        <v>123</v>
      </c>
      <c r="C15" s="2">
        <v>201507</v>
      </c>
      <c r="D15" s="2" t="s">
        <v>90</v>
      </c>
      <c r="E15" s="2">
        <v>1</v>
      </c>
      <c r="F15" s="2" t="s">
        <v>2</v>
      </c>
      <c r="G15" s="2" t="s">
        <v>1</v>
      </c>
      <c r="H15" s="7">
        <f>VLOOKUP($C15,CutPoints!$A:$U,18,0)</f>
        <v>0.91</v>
      </c>
      <c r="I15" s="7">
        <f>VLOOKUP($C15,CutPoints!$A:$U,19,0)</f>
        <v>0.87</v>
      </c>
      <c r="J15" s="7">
        <f>VLOOKUP($C15,CutPoints!$A:$U,20,0)</f>
        <v>0.85</v>
      </c>
      <c r="K15" s="7">
        <f>VLOOKUP($C15,CutPoints!$A:$U,21,0)</f>
        <v>0.8</v>
      </c>
      <c r="L15" s="7">
        <v>659</v>
      </c>
      <c r="M15" s="7">
        <v>749</v>
      </c>
      <c r="N15" s="7"/>
      <c r="O15" s="8">
        <f t="shared" si="10"/>
        <v>0.87983978638184246</v>
      </c>
      <c r="P15" s="7">
        <f t="shared" si="11"/>
        <v>4</v>
      </c>
      <c r="Q15" s="2">
        <f>IFERROR(VLOOKUP(C15,Thresholds!A:C,3,0), "")</f>
        <v>30</v>
      </c>
      <c r="R15" s="2">
        <f>IFERROR(VLOOKUP($C15,Synthetic!$A:$M,3,0),"")</f>
        <v>0.70067028267815235</v>
      </c>
      <c r="S15" s="2">
        <f>IFERROR(VLOOKUP($C15,Synthetic!$A:$M,6,0),"")</f>
        <v>281</v>
      </c>
      <c r="T15" s="2">
        <f>IFERROR(VLOOKUP($C15,Synthetic!$A:$M,4,0),"")</f>
        <v>0.30661891520637807</v>
      </c>
      <c r="U15" s="2">
        <f>IFERROR(VLOOKUP($C15,Synthetic!$A:$M,7,0),"")</f>
        <v>405</v>
      </c>
      <c r="V15" s="2">
        <f>IFERROR(VLOOKUP($C15,Synthetic!$A:$M,9,0),"")</f>
        <v>0.92711823389579306</v>
      </c>
      <c r="W15" s="2">
        <f>IFERROR(VLOOKUP($C15,Synthetic!$A:$M,10,0),"")</f>
        <v>0.9158882338957931</v>
      </c>
      <c r="X15" s="2">
        <f t="shared" si="9"/>
        <v>-1</v>
      </c>
      <c r="Y15" s="2">
        <f>IFERROR(VLOOKUP($C15,Synthetic!$A:$M,12,0),"")</f>
        <v>9.0948436621954953E-2</v>
      </c>
      <c r="Z15" s="2">
        <f t="shared" si="2"/>
        <v>0.59037900874635574</v>
      </c>
      <c r="AA15" s="2">
        <f t="shared" si="3"/>
        <v>0.46803062695502029</v>
      </c>
      <c r="AB15" s="2">
        <f t="shared" si="4"/>
        <v>-0.12805218223215492</v>
      </c>
      <c r="AC15" s="2">
        <f t="shared" si="5"/>
        <v>0.92833916413589579</v>
      </c>
      <c r="AD15" s="2">
        <f t="shared" si="6"/>
        <v>0.4814190270060153</v>
      </c>
      <c r="AE15" s="2">
        <v>1</v>
      </c>
      <c r="AF15" s="2">
        <f t="shared" si="8"/>
        <v>1</v>
      </c>
    </row>
    <row r="16" spans="1:32" hidden="1" x14ac:dyDescent="0.3">
      <c r="A16" s="9" t="str">
        <f t="shared" si="1"/>
        <v>H0123600070</v>
      </c>
      <c r="B16" s="2" t="s">
        <v>123</v>
      </c>
      <c r="C16" s="2">
        <v>600070</v>
      </c>
      <c r="D16" s="2" t="s">
        <v>88</v>
      </c>
      <c r="E16" s="2">
        <v>1</v>
      </c>
      <c r="F16" s="2" t="s">
        <v>2</v>
      </c>
      <c r="G16" s="2" t="s">
        <v>1</v>
      </c>
      <c r="H16" s="7">
        <f>VLOOKUP($C16,CutPoints!$A:$U,18,0)</f>
        <v>0.85</v>
      </c>
      <c r="I16" s="7">
        <f>VLOOKUP($C16,CutPoints!$A:$U,19,0)</f>
        <v>0.72</v>
      </c>
      <c r="J16" s="7">
        <f>VLOOKUP($C16,CutPoints!$A:$U,20,0)</f>
        <v>0.56000000000000005</v>
      </c>
      <c r="K16" s="7">
        <f>VLOOKUP($C16,CutPoints!$A:$U,21,0)</f>
        <v>0.4</v>
      </c>
      <c r="L16" s="7">
        <v>570</v>
      </c>
      <c r="M16" s="7">
        <v>935</v>
      </c>
      <c r="N16" s="7"/>
      <c r="O16" s="8">
        <f t="shared" si="10"/>
        <v>0.60962566844919786</v>
      </c>
      <c r="P16" s="7">
        <f t="shared" si="11"/>
        <v>3</v>
      </c>
      <c r="Q16" s="2">
        <f>IFERROR(VLOOKUP(C16,Thresholds!A:C,3,0), "")</f>
        <v>30</v>
      </c>
      <c r="R16" s="2">
        <f>IFERROR(VLOOKUP($C16,Synthetic!$A:$M,3,0),"")</f>
        <v>0.93400969860151395</v>
      </c>
      <c r="S16" s="2">
        <f>IFERROR(VLOOKUP($C16,Synthetic!$A:$M,6,0),"")</f>
        <v>251</v>
      </c>
      <c r="T16" s="2">
        <f>IFERROR(VLOOKUP($C16,Synthetic!$A:$M,4,0),"")</f>
        <v>0.34861506025882016</v>
      </c>
      <c r="U16" s="2">
        <f>IFERROR(VLOOKUP($C16,Synthetic!$A:$M,7,0),"")</f>
        <v>445</v>
      </c>
      <c r="V16" s="2">
        <f>IFERROR(VLOOKUP($C16,Synthetic!$A:$M,9,0),"")</f>
        <v>0.41154171926495631</v>
      </c>
      <c r="W16" s="2">
        <f>IFERROR(VLOOKUP($C16,Synthetic!$A:$M,10,0),"")</f>
        <v>0.40031171926495629</v>
      </c>
      <c r="X16" s="2">
        <f t="shared" si="9"/>
        <v>1</v>
      </c>
      <c r="Y16" s="2">
        <f>IFERROR(VLOOKUP($C16,Synthetic!$A:$M,12,0),"")</f>
        <v>3.2072071923159196E-2</v>
      </c>
      <c r="Z16" s="2">
        <f t="shared" si="2"/>
        <v>0.63936781609195403</v>
      </c>
      <c r="AA16" s="2">
        <f t="shared" si="3"/>
        <v>0.55972720713240653</v>
      </c>
      <c r="AB16" s="2">
        <f t="shared" si="4"/>
        <v>0.24005501633032816</v>
      </c>
      <c r="AC16" s="2">
        <f t="shared" si="5"/>
        <v>1.2976576958672428</v>
      </c>
      <c r="AD16" s="2">
        <f t="shared" si="6"/>
        <v>0.56477416031174577</v>
      </c>
      <c r="AE16" s="2">
        <f t="shared" si="7"/>
        <v>1</v>
      </c>
      <c r="AF16" s="2">
        <f t="shared" si="8"/>
        <v>1</v>
      </c>
    </row>
    <row r="17" spans="1:32" hidden="1" x14ac:dyDescent="0.3">
      <c r="A17" s="9" t="str">
        <f t="shared" si="1"/>
        <v>H0123600094</v>
      </c>
      <c r="B17" s="2" t="s">
        <v>123</v>
      </c>
      <c r="C17" s="2">
        <v>600094</v>
      </c>
      <c r="D17" s="2" t="s">
        <v>92</v>
      </c>
      <c r="E17" s="2">
        <v>1</v>
      </c>
      <c r="F17" s="2" t="s">
        <v>2</v>
      </c>
      <c r="G17" s="2" t="s">
        <v>1</v>
      </c>
      <c r="H17" s="7">
        <f>VLOOKUP($C17,CutPoints!$A:$U,18,0)</f>
        <v>0.72</v>
      </c>
      <c r="I17" s="7">
        <f>VLOOKUP($C17,CutPoints!$A:$U,19,0)</f>
        <v>0.62</v>
      </c>
      <c r="J17" s="7">
        <f>VLOOKUP($C17,CutPoints!$A:$U,20,0)</f>
        <v>0.55000000000000004</v>
      </c>
      <c r="K17" s="7">
        <f>VLOOKUP($C17,CutPoints!$A:$U,21,0)</f>
        <v>0.44</v>
      </c>
      <c r="L17" s="7">
        <v>435</v>
      </c>
      <c r="M17" s="7">
        <v>805</v>
      </c>
      <c r="N17" s="7"/>
      <c r="O17" s="8">
        <f t="shared" si="10"/>
        <v>0.54037267080745344</v>
      </c>
      <c r="P17" s="7">
        <f t="shared" si="11"/>
        <v>2</v>
      </c>
      <c r="Q17" s="2">
        <f>IFERROR(VLOOKUP(C17,Thresholds!A:C,3,0), "")</f>
        <v>30</v>
      </c>
      <c r="R17" s="2" t="str">
        <f>IFERROR(VLOOKUP($C17,Synthetic!$A:$M,3,0),"")</f>
        <v/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>
        <f t="shared" si="7"/>
        <v>0</v>
      </c>
      <c r="AF17" s="2">
        <f t="shared" si="8"/>
        <v>0</v>
      </c>
    </row>
    <row r="18" spans="1:32" hidden="1" x14ac:dyDescent="0.3">
      <c r="A18" s="9" t="str">
        <f t="shared" si="1"/>
        <v>H0123600452</v>
      </c>
      <c r="B18" s="2" t="s">
        <v>123</v>
      </c>
      <c r="C18" s="2">
        <v>600452</v>
      </c>
      <c r="D18" s="2" t="s">
        <v>73</v>
      </c>
      <c r="E18" s="2">
        <v>1</v>
      </c>
      <c r="F18" s="2" t="s">
        <v>2</v>
      </c>
      <c r="G18" s="2" t="s">
        <v>1</v>
      </c>
      <c r="H18" s="7">
        <f>VLOOKUP($C18,CutPoints!$A:$U,18,0)</f>
        <v>0.8</v>
      </c>
      <c r="I18" s="7">
        <f>VLOOKUP($C18,CutPoints!$A:$U,19,0)</f>
        <v>0.72</v>
      </c>
      <c r="J18" s="7">
        <f>VLOOKUP($C18,CutPoints!$A:$U,20,0)</f>
        <v>0.62</v>
      </c>
      <c r="K18" s="7">
        <f>VLOOKUP($C18,CutPoints!$A:$U,21,0)</f>
        <v>0.5</v>
      </c>
      <c r="L18" s="7">
        <v>682</v>
      </c>
      <c r="M18" s="7">
        <v>898</v>
      </c>
      <c r="N18" s="7"/>
      <c r="O18" s="8">
        <f t="shared" si="10"/>
        <v>0.75946547884187088</v>
      </c>
      <c r="P18" s="7">
        <f t="shared" si="11"/>
        <v>4</v>
      </c>
      <c r="Q18" s="2">
        <f>IFERROR(VLOOKUP(C18,Thresholds!A:C,3,0), "")</f>
        <v>30</v>
      </c>
      <c r="R18" s="2" t="str">
        <f>IFERROR(VLOOKUP($C18,Synthetic!$A:$M,3,0),"")</f>
        <v/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>
        <f t="shared" si="7"/>
        <v>0</v>
      </c>
      <c r="AF18" s="2">
        <f t="shared" si="8"/>
        <v>0</v>
      </c>
    </row>
    <row r="19" spans="1:32" hidden="1" x14ac:dyDescent="0.3">
      <c r="A19" s="9" t="str">
        <f t="shared" si="1"/>
        <v>H0123600484</v>
      </c>
      <c r="B19" s="2" t="s">
        <v>123</v>
      </c>
      <c r="C19" s="2">
        <v>600484</v>
      </c>
      <c r="D19" s="2" t="s">
        <v>84</v>
      </c>
      <c r="E19" s="2">
        <v>1</v>
      </c>
      <c r="F19" s="2" t="s">
        <v>2</v>
      </c>
      <c r="G19" s="2" t="s">
        <v>1</v>
      </c>
      <c r="H19" s="7">
        <f>VLOOKUP($C19,CutPoints!$A:$U,18,0)</f>
        <v>0.69</v>
      </c>
      <c r="I19" s="7">
        <f>VLOOKUP($C19,CutPoints!$A:$U,19,0)</f>
        <v>0.54</v>
      </c>
      <c r="J19" s="7">
        <f>VLOOKUP($C19,CutPoints!$A:$U,20,0)</f>
        <v>0.43</v>
      </c>
      <c r="K19" s="7">
        <f>VLOOKUP($C19,CutPoints!$A:$U,21,0)</f>
        <v>0.23</v>
      </c>
      <c r="L19" s="7">
        <v>578</v>
      </c>
      <c r="M19" s="7">
        <v>722</v>
      </c>
      <c r="N19" s="7"/>
      <c r="O19" s="8">
        <f t="shared" si="10"/>
        <v>0.80055401662049863</v>
      </c>
      <c r="P19" s="7">
        <f t="shared" si="11"/>
        <v>5</v>
      </c>
      <c r="Q19" s="2">
        <f>IFERROR(VLOOKUP(C19,Thresholds!A:C,3,0), "")</f>
        <v>30</v>
      </c>
      <c r="R19" s="2">
        <f>IFERROR(VLOOKUP($C19,Synthetic!$A:$M,3,0),"")</f>
        <v>0.51462072711707996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>
        <f t="shared" si="7"/>
        <v>0</v>
      </c>
      <c r="AF19" s="2">
        <f t="shared" si="8"/>
        <v>0</v>
      </c>
    </row>
    <row r="20" spans="1:32" hidden="1" x14ac:dyDescent="0.3">
      <c r="A20" s="9" t="str">
        <f t="shared" si="1"/>
        <v>H0123900793</v>
      </c>
      <c r="B20" s="2" t="s">
        <v>123</v>
      </c>
      <c r="C20" s="2">
        <v>900793</v>
      </c>
      <c r="D20" s="2" t="s">
        <v>82</v>
      </c>
      <c r="E20" s="2">
        <v>1</v>
      </c>
      <c r="F20" s="2" t="s">
        <v>2</v>
      </c>
      <c r="G20" s="2" t="s">
        <v>1</v>
      </c>
      <c r="H20" s="7">
        <f>VLOOKUP($C20,CutPoints!$A:$U,18,0)</f>
        <v>0.83</v>
      </c>
      <c r="I20" s="7">
        <f>VLOOKUP($C20,CutPoints!$A:$U,19,0)</f>
        <v>0.77</v>
      </c>
      <c r="J20" s="7">
        <f>VLOOKUP($C20,CutPoints!$A:$U,20,0)</f>
        <v>0.69</v>
      </c>
      <c r="K20" s="7">
        <f>VLOOKUP($C20,CutPoints!$A:$U,21,0)</f>
        <v>0.56000000000000005</v>
      </c>
      <c r="L20" s="7">
        <v>780</v>
      </c>
      <c r="M20" s="7">
        <v>981</v>
      </c>
      <c r="N20" s="7"/>
      <c r="O20" s="8">
        <f t="shared" si="10"/>
        <v>0.7951070336391437</v>
      </c>
      <c r="P20" s="7">
        <f t="shared" si="11"/>
        <v>4</v>
      </c>
      <c r="Q20" s="2">
        <f>IFERROR(VLOOKUP(C20,Thresholds!A:C,3,0), "")</f>
        <v>30</v>
      </c>
      <c r="R20" s="2">
        <f>IFERROR(VLOOKUP($C20,Synthetic!$A:$M,3,0),"")</f>
        <v>6.7607028370086919E-2</v>
      </c>
      <c r="S20" s="2">
        <f>IFERROR(VLOOKUP($C20,Synthetic!$A:$M,6,0),"")</f>
        <v>238</v>
      </c>
      <c r="T20" s="2">
        <f>IFERROR(VLOOKUP($C20,Synthetic!$A:$M,4,0),"")</f>
        <v>1.6757957740557439E-2</v>
      </c>
      <c r="U20" s="2">
        <f>IFERROR(VLOOKUP($C20,Synthetic!$A:$M,7,0),"")</f>
        <v>454</v>
      </c>
      <c r="V20" s="2">
        <f>IFERROR(VLOOKUP($C20,Synthetic!$A:$M,9,0),"")</f>
        <v>0.46627485863839668</v>
      </c>
      <c r="W20" s="2">
        <f>IFERROR(VLOOKUP($C20,Synthetic!$A:$M,10,0),"")</f>
        <v>0.45504485863839667</v>
      </c>
      <c r="X20" s="2">
        <f t="shared" si="9"/>
        <v>-1</v>
      </c>
      <c r="Y20" s="2">
        <f>IFERROR(VLOOKUP($C20,Synthetic!$A:$M,12,0),"")</f>
        <v>0.46421491893025013</v>
      </c>
      <c r="Z20" s="2">
        <f t="shared" si="2"/>
        <v>0.65606936416184969</v>
      </c>
      <c r="AA20" s="2">
        <f t="shared" si="3"/>
        <v>3.4246510933950529E-2</v>
      </c>
      <c r="AB20" s="2">
        <f t="shared" si="4"/>
        <v>-3.3393239253669837</v>
      </c>
      <c r="AC20" s="2">
        <f t="shared" si="5"/>
        <v>4.8085878143391582E-2</v>
      </c>
      <c r="AD20" s="2">
        <f t="shared" si="6"/>
        <v>4.5879711907360343E-2</v>
      </c>
      <c r="AE20" s="2">
        <f t="shared" si="7"/>
        <v>-1</v>
      </c>
      <c r="AF20" s="2">
        <f t="shared" si="8"/>
        <v>1</v>
      </c>
    </row>
    <row r="21" spans="1:32" x14ac:dyDescent="0.3">
      <c r="A21" s="9" t="str">
        <f t="shared" si="1"/>
        <v>H0123909230</v>
      </c>
      <c r="B21" s="2" t="s">
        <v>123</v>
      </c>
      <c r="C21" s="2">
        <v>909230</v>
      </c>
      <c r="D21" s="2" t="s">
        <v>72</v>
      </c>
      <c r="E21" s="2">
        <v>1</v>
      </c>
      <c r="F21" s="2" t="s">
        <v>2</v>
      </c>
      <c r="G21" s="2" t="s">
        <v>1</v>
      </c>
      <c r="H21" s="7">
        <f>VLOOKUP(909230,CutPoints!$A:$U,18,0)</f>
        <v>0.82</v>
      </c>
      <c r="I21" s="7">
        <f>VLOOKUP(909230,CutPoints!$A:$U,19,0)</f>
        <v>0.74</v>
      </c>
      <c r="J21" s="7">
        <f>VLOOKUP(909230,CutPoints!$A:$U,20,0)</f>
        <v>0.67</v>
      </c>
      <c r="K21" s="7">
        <f>VLOOKUP(909230,CutPoints!$A:$U,21,0)</f>
        <v>0.53</v>
      </c>
      <c r="L21" s="7">
        <v>523</v>
      </c>
      <c r="M21" s="7">
        <v>857</v>
      </c>
      <c r="N21" s="7"/>
      <c r="O21" s="8">
        <f t="shared" si="10"/>
        <v>0.61026837806301049</v>
      </c>
      <c r="P21" s="7">
        <f t="shared" si="11"/>
        <v>2</v>
      </c>
      <c r="Q21" s="2">
        <f>IFERROR(VLOOKUP(C21,Thresholds!A:C,3,0), "")</f>
        <v>30</v>
      </c>
      <c r="R21" s="2">
        <f>IFERROR(VLOOKUP($C21,Synthetic!$A:$M,3,0),"")</f>
        <v>5.4463475586909005E-2</v>
      </c>
      <c r="S21" s="2">
        <f>IFERROR(VLOOKUP($C21,Synthetic!$A:$M,6,0),"")</f>
        <v>308</v>
      </c>
      <c r="T21" s="2">
        <f>IFERROR(VLOOKUP($C21,Synthetic!$A:$M,4,0),"")</f>
        <v>0.8990983995808296</v>
      </c>
      <c r="U21" s="2">
        <f>IFERROR(VLOOKUP($C21,Synthetic!$A:$M,7,0),"")</f>
        <v>464</v>
      </c>
      <c r="V21" s="2">
        <f>IFERROR(VLOOKUP($C21,Synthetic!$A:$M,9,0),"")</f>
        <v>0.56178905153245473</v>
      </c>
      <c r="W21" s="2">
        <f>IFERROR(VLOOKUP($C21,Synthetic!$A:$M,10,0),"")</f>
        <v>0.55055905153245477</v>
      </c>
      <c r="X21" s="2">
        <f t="shared" si="9"/>
        <v>1</v>
      </c>
      <c r="Y21" s="2">
        <f>IFERROR(VLOOKUP($C21,Synthetic!$A:$M,12,0),"")</f>
        <v>0.66913617872429998</v>
      </c>
      <c r="Z21" s="2">
        <f t="shared" si="2"/>
        <v>0.60103626943005184</v>
      </c>
      <c r="AA21" s="2">
        <f t="shared" si="3"/>
        <v>0.56211969933455042</v>
      </c>
      <c r="AB21" s="2">
        <f t="shared" si="4"/>
        <v>0.24976922847966754</v>
      </c>
      <c r="AC21" s="2">
        <f t="shared" si="5"/>
        <v>1.919268916902426</v>
      </c>
      <c r="AD21" s="2">
        <f t="shared" si="6"/>
        <v>0.65744848163523129</v>
      </c>
      <c r="AE21" s="2">
        <f t="shared" si="7"/>
        <v>1</v>
      </c>
      <c r="AF21" s="2">
        <f t="shared" si="8"/>
        <v>1</v>
      </c>
    </row>
    <row r="22" spans="1:32" hidden="1" x14ac:dyDescent="0.3">
      <c r="A22" s="9" t="str">
        <f t="shared" si="1"/>
        <v>H0123999600</v>
      </c>
      <c r="B22" s="2" t="s">
        <v>123</v>
      </c>
      <c r="C22" s="2">
        <v>999600</v>
      </c>
      <c r="D22" s="2" t="s">
        <v>91</v>
      </c>
      <c r="E22" s="2">
        <v>1</v>
      </c>
      <c r="F22" s="2" t="s">
        <v>2</v>
      </c>
      <c r="G22" s="2" t="s">
        <v>1</v>
      </c>
      <c r="H22" s="7">
        <f>VLOOKUP($C22,CutPoints!$A:$U,18,0)</f>
        <v>0.78</v>
      </c>
      <c r="I22" s="7">
        <f>VLOOKUP($C22,CutPoints!$A:$U,19,0)</f>
        <v>0.65</v>
      </c>
      <c r="J22" s="7">
        <f>VLOOKUP($C22,CutPoints!$A:$U,20,0)</f>
        <v>0.53</v>
      </c>
      <c r="K22" s="7">
        <f>VLOOKUP($C22,CutPoints!$A:$U,21,0)</f>
        <v>0.43</v>
      </c>
      <c r="L22" s="7">
        <v>600</v>
      </c>
      <c r="M22" s="7">
        <v>870</v>
      </c>
      <c r="N22" s="7"/>
      <c r="O22" s="8">
        <f t="shared" si="10"/>
        <v>0.68965517241379315</v>
      </c>
      <c r="P22" s="7">
        <f t="shared" si="11"/>
        <v>4</v>
      </c>
      <c r="Q22" s="2">
        <f>IFERROR(VLOOKUP(C22,Thresholds!A:C,3,0), "")</f>
        <v>30</v>
      </c>
      <c r="R22" s="2">
        <f>IFERROR(VLOOKUP($C22,Synthetic!$A:$M,3,0),"")</f>
        <v>0.27430701004888525</v>
      </c>
      <c r="S22" s="2">
        <f>IFERROR(VLOOKUP($C22,Synthetic!$A:$M,6,0),"")</f>
        <v>221</v>
      </c>
      <c r="T22" s="2">
        <f>IFERROR(VLOOKUP($C22,Synthetic!$A:$M,4,0),"")</f>
        <v>6.1932149742778164E-2</v>
      </c>
      <c r="U22" s="2">
        <f>IFERROR(VLOOKUP($C22,Synthetic!$A:$M,7,0),"")</f>
        <v>417</v>
      </c>
      <c r="V22" s="2">
        <f>IFERROR(VLOOKUP($C22,Synthetic!$A:$M,9,0),"")</f>
        <v>0.96538261935500835</v>
      </c>
      <c r="W22" s="2">
        <f>IFERROR(VLOOKUP($C22,Synthetic!$A:$M,10,0),"")</f>
        <v>0.95415261935500839</v>
      </c>
      <c r="X22" s="2">
        <f t="shared" si="9"/>
        <v>-1</v>
      </c>
      <c r="Y22" s="2">
        <f>IFERROR(VLOOKUP($C22,Synthetic!$A:$M,12,0),"")</f>
        <v>0.83778589043378571</v>
      </c>
      <c r="Z22" s="2">
        <f t="shared" si="2"/>
        <v>0.65360501567398122</v>
      </c>
      <c r="AA22" s="2">
        <f t="shared" si="3"/>
        <v>0.13549773614975255</v>
      </c>
      <c r="AB22" s="2">
        <f t="shared" si="4"/>
        <v>-1.8531989910032356</v>
      </c>
      <c r="AC22" s="2">
        <f t="shared" si="5"/>
        <v>0.27100502090351514</v>
      </c>
      <c r="AD22" s="2">
        <f t="shared" si="6"/>
        <v>0.21322104668860137</v>
      </c>
      <c r="AE22" s="2">
        <f t="shared" si="7"/>
        <v>-1</v>
      </c>
      <c r="AF22" s="2">
        <f t="shared" si="8"/>
        <v>1</v>
      </c>
    </row>
    <row r="23" spans="1:32" hidden="1" x14ac:dyDescent="0.3">
      <c r="A23" s="9" t="str">
        <f t="shared" si="1"/>
        <v>H0123999998</v>
      </c>
      <c r="B23" s="2" t="s">
        <v>123</v>
      </c>
      <c r="C23" s="2">
        <v>999998</v>
      </c>
      <c r="D23" s="2" t="s">
        <v>83</v>
      </c>
      <c r="E23" s="2">
        <v>3</v>
      </c>
      <c r="F23" s="2" t="s">
        <v>2</v>
      </c>
      <c r="G23" s="2" t="s">
        <v>1</v>
      </c>
      <c r="H23" s="7">
        <f>VLOOKUP($C23,CutPoints!$A:$U,18,0)</f>
        <v>0.89</v>
      </c>
      <c r="I23" s="7">
        <f>VLOOKUP($C23,CutPoints!$A:$U,19,0)</f>
        <v>0.84</v>
      </c>
      <c r="J23" s="7">
        <f>VLOOKUP($C23,CutPoints!$A:$U,20,0)</f>
        <v>0.72</v>
      </c>
      <c r="K23" s="7">
        <f>VLOOKUP($C23,CutPoints!$A:$U,21,0)</f>
        <v>0.49</v>
      </c>
      <c r="L23" s="7">
        <v>781</v>
      </c>
      <c r="M23" s="7">
        <v>921</v>
      </c>
      <c r="N23" s="7"/>
      <c r="O23" s="8">
        <f t="shared" si="10"/>
        <v>0.84799131378935944</v>
      </c>
      <c r="P23" s="7">
        <f t="shared" si="11"/>
        <v>4</v>
      </c>
      <c r="Q23" s="2">
        <f>IFERROR(VLOOKUP(C23,Thresholds!A:C,3,0), "")</f>
        <v>30</v>
      </c>
      <c r="R23" s="2">
        <f>IFERROR(VLOOKUP($C23,Synthetic!$A:$M,3,0),"")</f>
        <v>0.23524026550314747</v>
      </c>
      <c r="S23" s="2">
        <f>IFERROR(VLOOKUP($C23,Synthetic!$A:$M,6,0),"")</f>
        <v>245</v>
      </c>
      <c r="T23" s="2">
        <f>IFERROR(VLOOKUP($C23,Synthetic!$A:$M,4,0),"")</f>
        <v>0.88954042658129706</v>
      </c>
      <c r="U23" s="2">
        <f>IFERROR(VLOOKUP($C23,Synthetic!$A:$M,7,0),"")</f>
        <v>436</v>
      </c>
      <c r="V23" s="2">
        <f>IFERROR(VLOOKUP($C23,Synthetic!$A:$M,9,0),"")</f>
        <v>0.88109710985217737</v>
      </c>
      <c r="W23" s="2">
        <f>IFERROR(VLOOKUP($C23,Synthetic!$A:$M,10,0),"")</f>
        <v>0.86986710985217741</v>
      </c>
      <c r="X23" s="2">
        <f t="shared" si="9"/>
        <v>-1</v>
      </c>
      <c r="Y23" s="2">
        <f>IFERROR(VLOOKUP($C23,Synthetic!$A:$M,12,0),"")</f>
        <v>0.15298893345133013</v>
      </c>
      <c r="Z23" s="2">
        <f t="shared" si="2"/>
        <v>0.64023494860499264</v>
      </c>
      <c r="AA23" s="2">
        <f t="shared" si="3"/>
        <v>0.65414609550325487</v>
      </c>
      <c r="AB23" s="2">
        <f t="shared" si="4"/>
        <v>0.63731426957969362</v>
      </c>
      <c r="AC23" s="2">
        <f t="shared" si="5"/>
        <v>2.0860308207659983</v>
      </c>
      <c r="AD23" s="2">
        <f t="shared" si="6"/>
        <v>0.67595916629510999</v>
      </c>
      <c r="AE23" s="2">
        <f t="shared" si="7"/>
        <v>-3</v>
      </c>
      <c r="AF23" s="2">
        <f t="shared" si="8"/>
        <v>3</v>
      </c>
    </row>
    <row r="24" spans="1:32" hidden="1" x14ac:dyDescent="0.3">
      <c r="A24" s="9" t="str">
        <f t="shared" si="1"/>
        <v>H0123999903</v>
      </c>
      <c r="B24" s="2" t="s">
        <v>123</v>
      </c>
      <c r="C24" s="2">
        <v>999903</v>
      </c>
      <c r="D24" s="2" t="s">
        <v>75</v>
      </c>
      <c r="E24" s="2">
        <v>1</v>
      </c>
      <c r="F24" s="2" t="s">
        <v>4</v>
      </c>
      <c r="G24" s="2" t="s">
        <v>1</v>
      </c>
      <c r="H24" s="7">
        <f>VLOOKUP($C24,CutPoints!$A:$U,18,0)</f>
        <v>0.75</v>
      </c>
      <c r="I24" s="7">
        <f>VLOOKUP($C24,CutPoints!$A:$U,19,0)</f>
        <v>0.71</v>
      </c>
      <c r="J24" s="7">
        <f>VLOOKUP($C24,CutPoints!$A:$U,20,0)</f>
        <v>0.69</v>
      </c>
      <c r="K24" s="7">
        <f>VLOOKUP($C24,CutPoints!$A:$U,21,0)</f>
        <v>0.65</v>
      </c>
      <c r="L24" s="7"/>
      <c r="M24" s="7"/>
      <c r="N24" s="7"/>
      <c r="O24" s="8">
        <v>0.74</v>
      </c>
      <c r="P24" s="7">
        <f t="shared" ref="P24:P29" si="12">IF($G24="H",IF(ROUND(O24,2)&gt;=H24,5,IF(ROUND(O24,2)&gt;=I24,4,IF(ROUND(O24,2)&gt;=J24,3,IF(ROUND(O24,2)&gt;=K24,2,1)))),IF(ROUND(O24,2)&lt;=H24,5,IF(ROUND(O24,2)&lt;=I24,4,IF(ROUND(O24,2)&lt;=J24,3,IF(ROUND(O24,2)&lt;=K24,2,1)))))</f>
        <v>4</v>
      </c>
      <c r="Q24" s="2" t="str">
        <f>IFERROR(VLOOKUP(C24,Thresholds!A:C,3,0), "")</f>
        <v/>
      </c>
    </row>
    <row r="25" spans="1:32" hidden="1" x14ac:dyDescent="0.3">
      <c r="A25" s="9" t="str">
        <f t="shared" si="1"/>
        <v>H0123999904</v>
      </c>
      <c r="B25" s="2" t="s">
        <v>123</v>
      </c>
      <c r="C25" s="2">
        <v>999904</v>
      </c>
      <c r="D25" s="2" t="s">
        <v>76</v>
      </c>
      <c r="E25" s="2">
        <v>1</v>
      </c>
      <c r="F25" s="2" t="s">
        <v>4</v>
      </c>
      <c r="G25" s="2" t="s">
        <v>1</v>
      </c>
      <c r="H25" s="7">
        <f>VLOOKUP($C25,CutPoints!$A:$U,18,0)</f>
        <v>0.88</v>
      </c>
      <c r="I25" s="7">
        <f>VLOOKUP($C25,CutPoints!$A:$U,19,0)</f>
        <v>0.85</v>
      </c>
      <c r="J25" s="7">
        <f>VLOOKUP($C25,CutPoints!$A:$U,20,0)</f>
        <v>0.82</v>
      </c>
      <c r="K25" s="7">
        <f>VLOOKUP($C25,CutPoints!$A:$U,21,0)</f>
        <v>0.77</v>
      </c>
      <c r="L25" s="7"/>
      <c r="M25" s="7"/>
      <c r="N25" s="7"/>
      <c r="O25" s="8">
        <v>0.85</v>
      </c>
      <c r="P25" s="7">
        <f t="shared" si="12"/>
        <v>4</v>
      </c>
      <c r="Q25" s="2" t="str">
        <f>IFERROR(VLOOKUP(C25,Thresholds!A:C,3,0), "")</f>
        <v/>
      </c>
    </row>
    <row r="26" spans="1:32" hidden="1" x14ac:dyDescent="0.3">
      <c r="A26" s="9" t="str">
        <f t="shared" si="1"/>
        <v>H0123999905</v>
      </c>
      <c r="B26" s="2" t="s">
        <v>123</v>
      </c>
      <c r="C26" s="2">
        <v>999905</v>
      </c>
      <c r="D26" s="2" t="s">
        <v>77</v>
      </c>
      <c r="E26" s="2">
        <v>1</v>
      </c>
      <c r="F26" s="2" t="s">
        <v>4</v>
      </c>
      <c r="G26" s="2" t="s">
        <v>1</v>
      </c>
      <c r="H26" s="7">
        <f>VLOOKUP($C26,CutPoints!$A:$U,18,0)</f>
        <v>0.59</v>
      </c>
      <c r="I26" s="7">
        <f>VLOOKUP($C26,CutPoints!$A:$U,19,0)</f>
        <v>0.53</v>
      </c>
      <c r="J26" s="7">
        <f>VLOOKUP($C26,CutPoints!$A:$U,20,0)</f>
        <v>0.47</v>
      </c>
      <c r="K26" s="7">
        <f>VLOOKUP($C26,CutPoints!$A:$U,21,0)</f>
        <v>0.41</v>
      </c>
      <c r="L26" s="7"/>
      <c r="M26" s="7"/>
      <c r="N26" s="7"/>
      <c r="O26" s="8">
        <v>0.5</v>
      </c>
      <c r="P26" s="7">
        <f t="shared" si="12"/>
        <v>3</v>
      </c>
      <c r="Q26" s="2" t="str">
        <f>IFERROR(VLOOKUP(C26,Thresholds!A:C,3,0), "")</f>
        <v/>
      </c>
    </row>
    <row r="27" spans="1:32" hidden="1" x14ac:dyDescent="0.3">
      <c r="A27" s="9" t="str">
        <f t="shared" si="1"/>
        <v>H0123999909</v>
      </c>
      <c r="B27" s="2" t="s">
        <v>123</v>
      </c>
      <c r="C27" s="2">
        <v>999909</v>
      </c>
      <c r="D27" s="2" t="s">
        <v>87</v>
      </c>
      <c r="E27" s="2">
        <v>1</v>
      </c>
      <c r="F27" s="2" t="s">
        <v>4</v>
      </c>
      <c r="G27" s="2" t="s">
        <v>1</v>
      </c>
      <c r="H27" s="7">
        <f>VLOOKUP($C27,CutPoints!$A:$U,18,0)</f>
        <v>0.52</v>
      </c>
      <c r="I27" s="7">
        <f>VLOOKUP($C27,CutPoints!$A:$U,19,0)</f>
        <v>0.48</v>
      </c>
      <c r="J27" s="7">
        <f>VLOOKUP($C27,CutPoints!$A:$U,20,0)</f>
        <v>0.44</v>
      </c>
      <c r="K27" s="7">
        <f>VLOOKUP($C27,CutPoints!$A:$U,21,0)</f>
        <v>0.39</v>
      </c>
      <c r="L27" s="7"/>
      <c r="M27" s="7"/>
      <c r="N27" s="7"/>
      <c r="O27" s="8">
        <v>0.46</v>
      </c>
      <c r="P27" s="7">
        <f t="shared" si="12"/>
        <v>3</v>
      </c>
      <c r="Q27" s="2" t="str">
        <f>IFERROR(VLOOKUP(C27,Thresholds!A:C,3,0), "")</f>
        <v/>
      </c>
    </row>
    <row r="28" spans="1:32" hidden="1" x14ac:dyDescent="0.3">
      <c r="A28" s="9" t="str">
        <f t="shared" si="1"/>
        <v>H0123999910</v>
      </c>
      <c r="B28" s="2" t="s">
        <v>123</v>
      </c>
      <c r="C28" s="2">
        <v>999910</v>
      </c>
      <c r="D28" s="2" t="s">
        <v>86</v>
      </c>
      <c r="E28" s="2">
        <v>1</v>
      </c>
      <c r="F28" s="2" t="s">
        <v>4</v>
      </c>
      <c r="G28" s="2" t="s">
        <v>1</v>
      </c>
      <c r="H28" s="7">
        <f>VLOOKUP($C28,CutPoints!$A:$U,18,0)</f>
        <v>0.71</v>
      </c>
      <c r="I28" s="7">
        <f>VLOOKUP($C28,CutPoints!$A:$U,19,0)</f>
        <v>0.62</v>
      </c>
      <c r="J28" s="7">
        <f>VLOOKUP($C28,CutPoints!$A:$U,20,0)</f>
        <v>0.55000000000000004</v>
      </c>
      <c r="K28" s="7">
        <f>VLOOKUP($C28,CutPoints!$A:$U,21,0)</f>
        <v>0.49</v>
      </c>
      <c r="L28" s="7"/>
      <c r="M28" s="7"/>
      <c r="N28" s="7"/>
      <c r="O28" s="8">
        <v>0.71</v>
      </c>
      <c r="P28" s="7">
        <f t="shared" si="12"/>
        <v>5</v>
      </c>
      <c r="Q28" s="2" t="str">
        <f>IFERROR(VLOOKUP(C28,Thresholds!A:C,3,0), "")</f>
        <v/>
      </c>
    </row>
    <row r="29" spans="1:32" hidden="1" x14ac:dyDescent="0.3">
      <c r="A29" s="9" t="str">
        <f t="shared" si="1"/>
        <v>H0123999802</v>
      </c>
      <c r="B29" s="2" t="s">
        <v>123</v>
      </c>
      <c r="C29" s="2">
        <v>999802</v>
      </c>
      <c r="D29" s="2" t="s">
        <v>105</v>
      </c>
      <c r="E29" s="2">
        <v>2</v>
      </c>
      <c r="F29" s="2" t="s">
        <v>5</v>
      </c>
      <c r="G29" s="2" t="s">
        <v>1</v>
      </c>
      <c r="H29" s="7">
        <f>VLOOKUP($C29,CutPoints!$A:$U,18,0)</f>
        <v>0.99</v>
      </c>
      <c r="I29" s="7">
        <f>VLOOKUP($C29,CutPoints!$A:$U,19,0)</f>
        <v>0.9</v>
      </c>
      <c r="J29" s="7">
        <f>VLOOKUP($C29,CutPoints!$A:$U,20,0)</f>
        <v>0.74</v>
      </c>
      <c r="K29" s="7">
        <f>VLOOKUP($C29,CutPoints!$A:$U,21,0)</f>
        <v>0.4</v>
      </c>
      <c r="L29" s="7"/>
      <c r="M29" s="7"/>
      <c r="N29" s="7"/>
      <c r="O29" s="8">
        <v>0.9</v>
      </c>
      <c r="P29" s="7">
        <f t="shared" si="12"/>
        <v>4</v>
      </c>
      <c r="Q29" s="2" t="str">
        <f>IFERROR(VLOOKUP(C29,Thresholds!A:C,3,0), "")</f>
        <v/>
      </c>
    </row>
    <row r="30" spans="1:32" hidden="1" x14ac:dyDescent="0.3">
      <c r="A30" s="9" t="str">
        <f t="shared" si="1"/>
        <v>H0123999806</v>
      </c>
      <c r="B30" s="2" t="s">
        <v>123</v>
      </c>
      <c r="C30" s="2">
        <v>999806</v>
      </c>
      <c r="D30" s="2" t="s">
        <v>106</v>
      </c>
      <c r="E30" s="2">
        <v>2</v>
      </c>
      <c r="F30" s="2" t="s">
        <v>5</v>
      </c>
      <c r="G30" s="2" t="s">
        <v>6</v>
      </c>
      <c r="H30" s="7">
        <f>VLOOKUP($C30,CutPoints!$A:$U,18,0)</f>
        <v>0.12</v>
      </c>
      <c r="I30" s="7">
        <f>VLOOKUP($C30,CutPoints!$A:$U,19,0)</f>
        <v>0.38</v>
      </c>
      <c r="J30" s="7">
        <f>VLOOKUP($C30,CutPoints!$A:$U,20,0)</f>
        <v>0.77</v>
      </c>
      <c r="K30" s="7">
        <f>VLOOKUP($C30,CutPoints!$A:$U,21,0)</f>
        <v>1.4</v>
      </c>
      <c r="L30" s="7">
        <v>20</v>
      </c>
      <c r="M30" s="7">
        <v>4523</v>
      </c>
      <c r="N30" s="7"/>
      <c r="O30" s="8">
        <f>L30/M30*30000/365</f>
        <v>0.36343922538986428</v>
      </c>
      <c r="P30" s="7">
        <f t="shared" ref="P30:P31" si="13">IF(M30&gt;=Q30, IF($G30="H",IF(ROUND(O30,2)&gt;=H30,5,IF(ROUND(O30,2)&gt;=I30,4,IF(ROUND(O30,2)&gt;=J30,3,IF(ROUND(O30,2)&gt;=K30,2,1)))),IF(ROUND(O30,2)&lt;=H30,5,IF(ROUND(O30,2)&lt;=I30,4,IF(ROUND(O30,2)&lt;=J30,3,IF(ROUND(O30,2)&lt;=K30,2,1))))), "NR")</f>
        <v>4</v>
      </c>
      <c r="Q30" s="2">
        <f>IFERROR(VLOOKUP(C30,Thresholds!A:C,3,0), "")</f>
        <v>800</v>
      </c>
    </row>
    <row r="31" spans="1:32" hidden="1" x14ac:dyDescent="0.3">
      <c r="A31" s="9" t="str">
        <f t="shared" si="1"/>
        <v>H0123999808</v>
      </c>
      <c r="B31" s="2" t="s">
        <v>123</v>
      </c>
      <c r="C31" s="2">
        <v>999808</v>
      </c>
      <c r="D31" s="2" t="s">
        <v>107</v>
      </c>
      <c r="E31" s="2">
        <v>2</v>
      </c>
      <c r="F31" s="2" t="s">
        <v>5</v>
      </c>
      <c r="G31" s="2" t="s">
        <v>6</v>
      </c>
      <c r="H31" s="7">
        <f>VLOOKUP($C31,CutPoints!$A:$U,18,0)</f>
        <v>0.09</v>
      </c>
      <c r="I31" s="7">
        <f>VLOOKUP($C31,CutPoints!$A:$U,19,0)</f>
        <v>0.17</v>
      </c>
      <c r="J31" s="7">
        <f>VLOOKUP($C31,CutPoints!$A:$U,20,0)</f>
        <v>0.27</v>
      </c>
      <c r="K31" s="7">
        <f>VLOOKUP($C31,CutPoints!$A:$U,21,0)</f>
        <v>0.39</v>
      </c>
      <c r="L31" s="7">
        <v>879</v>
      </c>
      <c r="M31" s="7">
        <v>4523</v>
      </c>
      <c r="N31" s="7"/>
      <c r="O31" s="8">
        <f>L31/M31</f>
        <v>0.19434003979659517</v>
      </c>
      <c r="P31" s="7">
        <f t="shared" si="13"/>
        <v>3</v>
      </c>
      <c r="Q31" s="2">
        <f>IFERROR(VLOOKUP(C31,Thresholds!A:C,3,0), "")</f>
        <v>1000</v>
      </c>
    </row>
    <row r="32" spans="1:32" hidden="1" x14ac:dyDescent="0.3">
      <c r="A32" s="9" t="str">
        <f t="shared" si="1"/>
        <v>H0123999814</v>
      </c>
      <c r="B32" s="2" t="s">
        <v>123</v>
      </c>
      <c r="C32" s="2">
        <v>999814</v>
      </c>
      <c r="D32" s="2" t="s">
        <v>111</v>
      </c>
      <c r="E32" s="2">
        <v>1</v>
      </c>
      <c r="F32" s="2" t="s">
        <v>5</v>
      </c>
      <c r="G32" s="2" t="s">
        <v>1</v>
      </c>
      <c r="H32" s="7">
        <f>VLOOKUP($C32,CutPoints!$A:$U,18,0)</f>
        <v>0.99</v>
      </c>
      <c r="I32" s="7">
        <f>VLOOKUP($C32,CutPoints!$A:$U,19,0)</f>
        <v>0.97</v>
      </c>
      <c r="J32" s="7">
        <f>VLOOKUP($C32,CutPoints!$A:$U,20,0)</f>
        <v>0.96</v>
      </c>
      <c r="K32" s="7">
        <f>VLOOKUP($C32,CutPoints!$A:$U,21,0)</f>
        <v>0.94</v>
      </c>
      <c r="L32" s="7"/>
      <c r="M32" s="7"/>
      <c r="N32" s="7"/>
      <c r="O32" s="8">
        <v>0.98899999999999999</v>
      </c>
      <c r="P32" s="7">
        <f>IF($G32="H",IF(ROUND(O32,2)&gt;=H32,5,IF(ROUND(O32,2)&gt;=I32,4,IF(ROUND(O32,2)&gt;=J32,3,IF(ROUND(O32,2)&gt;=K32,2,1)))),IF(ROUND(O32,2)&lt;=H32,5,IF(ROUND(O32,2)&lt;=I32,4,IF(ROUND(O32,2)&lt;=J32,3,IF(ROUND(O32,2)&lt;=K32,2,1)))))</f>
        <v>5</v>
      </c>
      <c r="Q32" s="2" t="str">
        <f>IFERROR(VLOOKUP(C32,Thresholds!A:C,3,0), "")</f>
        <v/>
      </c>
    </row>
    <row r="33" spans="1:32" hidden="1" x14ac:dyDescent="0.3">
      <c r="A33" s="9" t="str">
        <f t="shared" si="1"/>
        <v>H0123999916</v>
      </c>
      <c r="B33" s="2" t="s">
        <v>123</v>
      </c>
      <c r="C33" s="2">
        <v>999916</v>
      </c>
      <c r="D33" s="2" t="s">
        <v>99</v>
      </c>
      <c r="E33" s="2">
        <v>2</v>
      </c>
      <c r="F33" s="2" t="s">
        <v>5</v>
      </c>
      <c r="G33" s="2" t="s">
        <v>6</v>
      </c>
      <c r="H33" s="7">
        <f>VLOOKUP($C33,CutPoints!$A:$U,18,0)</f>
        <v>0.12</v>
      </c>
      <c r="I33" s="7">
        <f>VLOOKUP($C33,CutPoints!$A:$U,19,0)</f>
        <v>0.38</v>
      </c>
      <c r="J33" s="7">
        <f>VLOOKUP($C33,CutPoints!$A:$U,20,0)</f>
        <v>0.77</v>
      </c>
      <c r="K33" s="7">
        <f>VLOOKUP($C33,CutPoints!$A:$U,21,0)</f>
        <v>1.4</v>
      </c>
      <c r="L33" s="7">
        <v>20</v>
      </c>
      <c r="M33" s="7">
        <v>4523</v>
      </c>
      <c r="N33" s="7"/>
      <c r="O33" s="8">
        <f>L33/M33*30000/365</f>
        <v>0.36343922538986428</v>
      </c>
      <c r="P33" s="7">
        <f t="shared" ref="P33:P36" si="14">IF(M33&gt;=Q33, IF($G33="H",IF(ROUND(O33,2)&gt;=H33,5,IF(ROUND(O33,2)&gt;=I33,4,IF(ROUND(O33,2)&gt;=J33,3,IF(ROUND(O33,2)&gt;=K33,2,1)))),IF(ROUND(O33,2)&lt;=H33,5,IF(ROUND(O33,2)&lt;=I33,4,IF(ROUND(O33,2)&lt;=J33,3,IF(ROUND(O33,2)&lt;=K33,2,1))))), "NR")</f>
        <v>4</v>
      </c>
      <c r="Q33" s="2">
        <f>IFERROR(VLOOKUP(C33,Thresholds!A:C,3,0), "")</f>
        <v>800</v>
      </c>
    </row>
    <row r="34" spans="1:32" hidden="1" x14ac:dyDescent="0.3">
      <c r="A34" s="9" t="str">
        <f t="shared" si="1"/>
        <v>H0123999918</v>
      </c>
      <c r="B34" s="2" t="s">
        <v>123</v>
      </c>
      <c r="C34" s="2">
        <v>999918</v>
      </c>
      <c r="D34" s="2" t="s">
        <v>100</v>
      </c>
      <c r="E34" s="2">
        <v>2</v>
      </c>
      <c r="F34" s="2" t="s">
        <v>5</v>
      </c>
      <c r="G34" s="2" t="s">
        <v>6</v>
      </c>
      <c r="H34" s="7">
        <f>VLOOKUP($C34,CutPoints!$A:$U,18,0)</f>
        <v>0.09</v>
      </c>
      <c r="I34" s="7">
        <f>VLOOKUP($C34,CutPoints!$A:$U,19,0)</f>
        <v>0.17</v>
      </c>
      <c r="J34" s="7">
        <f>VLOOKUP($C34,CutPoints!$A:$U,20,0)</f>
        <v>0.27</v>
      </c>
      <c r="K34" s="7">
        <f>VLOOKUP($C34,CutPoints!$A:$U,21,0)</f>
        <v>0.39</v>
      </c>
      <c r="L34" s="7">
        <v>879</v>
      </c>
      <c r="M34" s="7">
        <v>4523</v>
      </c>
      <c r="N34" s="7"/>
      <c r="O34" s="8">
        <f>L34/M34</f>
        <v>0.19434003979659517</v>
      </c>
      <c r="P34" s="7">
        <f t="shared" si="14"/>
        <v>3</v>
      </c>
      <c r="Q34" s="2">
        <f>IFERROR(VLOOKUP(C34,Thresholds!A:C,3,0), "")</f>
        <v>1000</v>
      </c>
    </row>
    <row r="35" spans="1:32" hidden="1" x14ac:dyDescent="0.3">
      <c r="A35" s="9" t="str">
        <f t="shared" si="1"/>
        <v>H0123999919</v>
      </c>
      <c r="B35" s="2" t="s">
        <v>123</v>
      </c>
      <c r="C35" s="2">
        <v>999919</v>
      </c>
      <c r="D35" s="2" t="s">
        <v>102</v>
      </c>
      <c r="E35" s="2">
        <v>2</v>
      </c>
      <c r="F35" s="2" t="s">
        <v>5</v>
      </c>
      <c r="G35" s="2" t="s">
        <v>1</v>
      </c>
      <c r="H35" s="7">
        <f>VLOOKUP($C35,CutPoints!$A:$U,18,0)</f>
        <v>0.99</v>
      </c>
      <c r="I35" s="7">
        <f>VLOOKUP($C35,CutPoints!$A:$U,19,0)</f>
        <v>0.95</v>
      </c>
      <c r="J35" s="7">
        <f>VLOOKUP($C35,CutPoints!$A:$U,20,0)</f>
        <v>0.85</v>
      </c>
      <c r="K35" s="7">
        <f>VLOOKUP($C35,CutPoints!$A:$U,21,0)</f>
        <v>0.69</v>
      </c>
      <c r="L35" s="7">
        <v>13</v>
      </c>
      <c r="M35" s="7">
        <v>15</v>
      </c>
      <c r="N35" s="7"/>
      <c r="O35" s="8">
        <f>L35/M35</f>
        <v>0.8666666666666667</v>
      </c>
      <c r="P35" s="7">
        <f t="shared" si="14"/>
        <v>3</v>
      </c>
      <c r="Q35" s="2">
        <f>IFERROR(VLOOKUP(C35,Thresholds!A:C,3,0), "")</f>
        <v>11</v>
      </c>
    </row>
    <row r="36" spans="1:32" hidden="1" x14ac:dyDescent="0.3">
      <c r="A36" s="9" t="str">
        <f t="shared" si="1"/>
        <v>H0123999920</v>
      </c>
      <c r="B36" s="2" t="s">
        <v>123</v>
      </c>
      <c r="C36" s="2">
        <v>999920</v>
      </c>
      <c r="D36" s="2" t="s">
        <v>103</v>
      </c>
      <c r="E36" s="2">
        <v>2</v>
      </c>
      <c r="F36" s="2" t="s">
        <v>5</v>
      </c>
      <c r="G36" s="2" t="s">
        <v>1</v>
      </c>
      <c r="H36" s="7">
        <f>VLOOKUP($C36,CutPoints!$A:$U,18,0)</f>
        <v>1</v>
      </c>
      <c r="I36" s="7">
        <f>VLOOKUP($C36,CutPoints!$A:$U,19,0)</f>
        <v>0.97</v>
      </c>
      <c r="J36" s="7">
        <f>VLOOKUP($C36,CutPoints!$A:$U,20,0)</f>
        <v>0.92</v>
      </c>
      <c r="K36" s="7">
        <f>VLOOKUP($C36,CutPoints!$A:$U,21,0)</f>
        <v>0.78</v>
      </c>
      <c r="L36" s="7">
        <v>14</v>
      </c>
      <c r="M36" s="7">
        <v>15</v>
      </c>
      <c r="N36" s="7"/>
      <c r="O36" s="8">
        <f>L36/M36</f>
        <v>0.93333333333333335</v>
      </c>
      <c r="P36" s="7">
        <f t="shared" si="14"/>
        <v>3</v>
      </c>
      <c r="Q36" s="2">
        <f>IFERROR(VLOOKUP(C36,Thresholds!A:C,3,0), "")</f>
        <v>11</v>
      </c>
    </row>
    <row r="37" spans="1:32" hidden="1" x14ac:dyDescent="0.3">
      <c r="A37" s="9" t="str">
        <f t="shared" si="1"/>
        <v>H0123999921</v>
      </c>
      <c r="B37" s="2" t="s">
        <v>123</v>
      </c>
      <c r="C37" s="2">
        <v>999921</v>
      </c>
      <c r="D37" s="2" t="s">
        <v>104</v>
      </c>
      <c r="E37" s="2">
        <v>2</v>
      </c>
      <c r="F37" s="2" t="s">
        <v>5</v>
      </c>
      <c r="G37" s="2" t="s">
        <v>1</v>
      </c>
      <c r="H37" s="7">
        <f>VLOOKUP($C37,CutPoints!$A:$U,18,0)</f>
        <v>0.99</v>
      </c>
      <c r="I37" s="7">
        <f>VLOOKUP($C37,CutPoints!$A:$U,19,0)</f>
        <v>0.93</v>
      </c>
      <c r="J37" s="7">
        <f>VLOOKUP($C37,CutPoints!$A:$U,20,0)</f>
        <v>0.69</v>
      </c>
      <c r="K37" s="7">
        <f>VLOOKUP($C37,CutPoints!$A:$U,21,0)</f>
        <v>0.46</v>
      </c>
      <c r="L37" s="7"/>
      <c r="M37" s="7"/>
      <c r="N37" s="7"/>
      <c r="O37" s="8">
        <v>0.99</v>
      </c>
      <c r="P37" s="7">
        <f>IF($G37="H",IF(ROUND(O37,2)&gt;=H37,5,IF(ROUND(O37,2)&gt;=I37,4,IF(ROUND(O37,2)&gt;=J37,3,IF(ROUND(O37,2)&gt;=K37,2,1)))),IF(ROUND(O37,2)&lt;=H37,5,IF(ROUND(O37,2)&lt;=I37,4,IF(ROUND(O37,2)&lt;=J37,3,IF(ROUND(O37,2)&lt;=K37,2,1)))))</f>
        <v>5</v>
      </c>
      <c r="Q37" s="2" t="str">
        <f>IFERROR(VLOOKUP(C37,Thresholds!A:C,3,0), "")</f>
        <v/>
      </c>
    </row>
    <row r="38" spans="1:32" hidden="1" x14ac:dyDescent="0.3">
      <c r="A38" s="9" t="str">
        <f t="shared" si="1"/>
        <v>H0123999925</v>
      </c>
      <c r="B38" s="2" t="s">
        <v>123</v>
      </c>
      <c r="C38" s="2">
        <v>999925</v>
      </c>
      <c r="D38" s="2" t="s">
        <v>78</v>
      </c>
      <c r="E38" s="2">
        <v>1</v>
      </c>
      <c r="F38" s="2" t="s">
        <v>5</v>
      </c>
      <c r="G38" s="2" t="s">
        <v>1</v>
      </c>
      <c r="H38" s="7">
        <f>VLOOKUP($C38,CutPoints!$A:$U,18,0)</f>
        <v>0.87</v>
      </c>
      <c r="I38" s="7">
        <f>VLOOKUP($C38,CutPoints!$A:$U,19,0)</f>
        <v>0.74</v>
      </c>
      <c r="J38" s="7">
        <f>VLOOKUP($C38,CutPoints!$A:$U,20,0)</f>
        <v>0.6</v>
      </c>
      <c r="K38" s="7">
        <f>VLOOKUP($C38,CutPoints!$A:$U,21,0)</f>
        <v>0.43</v>
      </c>
      <c r="L38" s="7">
        <v>686</v>
      </c>
      <c r="M38" s="7">
        <v>868</v>
      </c>
      <c r="N38" s="7"/>
      <c r="O38" s="8">
        <f t="shared" ref="O38:O44" si="15">L38/M38</f>
        <v>0.79032258064516125</v>
      </c>
      <c r="P38" s="7">
        <f t="shared" ref="P38:P44" si="16">IF(M38&gt;=Q38, IF($G38="H",IF(ROUND(O38,2)&gt;=H38,5,IF(ROUND(O38,2)&gt;=I38,4,IF(ROUND(O38,2)&gt;=J38,3,IF(ROUND(O38,2)&gt;=K38,2,1)))),IF(ROUND(O38,2)&lt;=H38,5,IF(ROUND(O38,2)&lt;=I38,4,IF(ROUND(O38,2)&lt;=J38,3,IF(ROUND(O38,2)&lt;=K38,2,1))))), "NR")</f>
        <v>4</v>
      </c>
      <c r="Q38" s="2">
        <f>IFERROR(VLOOKUP(C38,Thresholds!A:C,3,0), "")</f>
        <v>30</v>
      </c>
    </row>
    <row r="39" spans="1:32" hidden="1" x14ac:dyDescent="0.3">
      <c r="A39" s="9" t="str">
        <f t="shared" si="1"/>
        <v>H0123201180</v>
      </c>
      <c r="B39" s="2" t="s">
        <v>123</v>
      </c>
      <c r="C39" s="2">
        <v>201180</v>
      </c>
      <c r="D39" s="2" t="s">
        <v>114</v>
      </c>
      <c r="E39" s="2">
        <v>3</v>
      </c>
      <c r="F39" s="2" t="s">
        <v>7</v>
      </c>
      <c r="G39" s="2" t="s">
        <v>1</v>
      </c>
      <c r="H39" s="7">
        <f>VLOOKUP($C39,CutPoints!$A:$U,18,0)</f>
        <v>0.92</v>
      </c>
      <c r="I39" s="7">
        <f>VLOOKUP($C39,CutPoints!$A:$U,19,0)</f>
        <v>0.89</v>
      </c>
      <c r="J39" s="7">
        <f>VLOOKUP($C39,CutPoints!$A:$U,20,0)</f>
        <v>0.86</v>
      </c>
      <c r="K39" s="7">
        <f>VLOOKUP($C39,CutPoints!$A:$U,21,0)</f>
        <v>0.82</v>
      </c>
      <c r="L39" s="7">
        <v>757</v>
      </c>
      <c r="M39" s="7">
        <v>851</v>
      </c>
      <c r="N39" s="7"/>
      <c r="O39" s="8">
        <f t="shared" si="15"/>
        <v>0.88954171562867212</v>
      </c>
      <c r="P39" s="7">
        <f t="shared" si="16"/>
        <v>4</v>
      </c>
      <c r="Q39" s="2">
        <f>IFERROR(VLOOKUP(C39,Thresholds!A:C,3,0), "")</f>
        <v>30</v>
      </c>
      <c r="R39" s="2">
        <f>IFERROR(VLOOKUP($C39,Synthetic!$A:$M,3,0),"")</f>
        <v>0.39347264564425966</v>
      </c>
      <c r="S39" s="2">
        <f>IFERROR(VLOOKUP($C39,Synthetic!$A:$M,6,0),"")</f>
        <v>279</v>
      </c>
      <c r="T39" s="2">
        <f>IFERROR(VLOOKUP($C39,Synthetic!$A:$M,4,0),"")</f>
        <v>0.51893374890829924</v>
      </c>
      <c r="U39" s="2">
        <f>IFERROR(VLOOKUP($C39,Synthetic!$A:$M,7,0),"")</f>
        <v>485</v>
      </c>
      <c r="V39" s="2">
        <f>IFERROR(VLOOKUP($C39,Synthetic!$A:$M,9,0),"")</f>
        <v>0.42460278310168698</v>
      </c>
      <c r="W39" s="2">
        <f>IFERROR(VLOOKUP($C39,Synthetic!$A:$M,10,0),"")</f>
        <v>0.41337278310168696</v>
      </c>
      <c r="X39" s="2">
        <f t="shared" ref="X39:X44" si="17">IF(AD39&gt;V39,1,IF(AD39&gt;W39,0,-1))</f>
        <v>1</v>
      </c>
      <c r="Y39" s="2">
        <f>IFERROR(VLOOKUP($C39,Synthetic!$A:$M,12,0),"")</f>
        <v>0.83755063397459861</v>
      </c>
      <c r="Z39" s="2">
        <f t="shared" ref="Z39:Z44" si="18">U39/(U39+S39)</f>
        <v>0.63481675392670156</v>
      </c>
      <c r="AA39" s="2">
        <f t="shared" ref="AA39:AA44" si="19">(U39*T39+S39*R39)/(U39+S39)</f>
        <v>0.47311745596240001</v>
      </c>
      <c r="AB39" s="2">
        <f t="shared" ref="AB39:AB44" si="20">LN(AA39/(1-AA39))</f>
        <v>-0.10763396817280831</v>
      </c>
      <c r="AC39" s="2">
        <f t="shared" ref="AC39:AC44" si="21">EXP(AB39+Y39*Z39)</f>
        <v>1.5281490113953393</v>
      </c>
      <c r="AD39" s="2">
        <f t="shared" ref="AD39:AD44" si="22">AC39/(1+AC39)</f>
        <v>0.6044536949789685</v>
      </c>
      <c r="AE39" s="2">
        <f t="shared" ref="AE39:AE44" si="23">IFERROR(X39*E39,0)</f>
        <v>3</v>
      </c>
      <c r="AF39" s="2">
        <f t="shared" ref="AF39:AF44" si="24">IF(AE39=0,0,E39)</f>
        <v>3</v>
      </c>
    </row>
    <row r="40" spans="1:32" hidden="1" x14ac:dyDescent="0.3">
      <c r="A40" s="9" t="str">
        <f t="shared" si="1"/>
        <v>H0123201181</v>
      </c>
      <c r="B40" s="2" t="s">
        <v>123</v>
      </c>
      <c r="C40" s="2">
        <v>201181</v>
      </c>
      <c r="D40" s="2" t="s">
        <v>113</v>
      </c>
      <c r="E40" s="2">
        <v>3</v>
      </c>
      <c r="F40" s="2" t="s">
        <v>7</v>
      </c>
      <c r="G40" s="2" t="s">
        <v>1</v>
      </c>
      <c r="H40" s="7">
        <f>VLOOKUP($C40,CutPoints!$A:$U,18,0)</f>
        <v>0.92</v>
      </c>
      <c r="I40" s="7">
        <f>VLOOKUP($C40,CutPoints!$A:$U,19,0)</f>
        <v>0.9</v>
      </c>
      <c r="J40" s="7">
        <f>VLOOKUP($C40,CutPoints!$A:$U,20,0)</f>
        <v>0.87</v>
      </c>
      <c r="K40" s="7">
        <f>VLOOKUP($C40,CutPoints!$A:$U,21,0)</f>
        <v>0.83</v>
      </c>
      <c r="L40" s="7">
        <v>798</v>
      </c>
      <c r="M40" s="7">
        <v>897</v>
      </c>
      <c r="N40" s="7"/>
      <c r="O40" s="8">
        <f t="shared" si="15"/>
        <v>0.88963210702341133</v>
      </c>
      <c r="P40" s="7">
        <f t="shared" si="16"/>
        <v>3</v>
      </c>
      <c r="Q40" s="2">
        <f>IFERROR(VLOOKUP(C40,Thresholds!A:C,3,0), "")</f>
        <v>30</v>
      </c>
      <c r="R40" s="2">
        <f>IFERROR(VLOOKUP($C40,Synthetic!$A:$M,3,0),"")</f>
        <v>0.91053913725223723</v>
      </c>
      <c r="S40" s="2">
        <f>IFERROR(VLOOKUP($C40,Synthetic!$A:$M,6,0),"")</f>
        <v>251</v>
      </c>
      <c r="T40" s="2">
        <f>IFERROR(VLOOKUP($C40,Synthetic!$A:$M,4,0),"")</f>
        <v>0.64139760595459305</v>
      </c>
      <c r="U40" s="2">
        <f>IFERROR(VLOOKUP($C40,Synthetic!$A:$M,7,0),"")</f>
        <v>401</v>
      </c>
      <c r="V40" s="2">
        <f>IFERROR(VLOOKUP($C40,Synthetic!$A:$M,9,0),"")</f>
        <v>0.46717876208588838</v>
      </c>
      <c r="W40" s="2">
        <f>IFERROR(VLOOKUP($C40,Synthetic!$A:$M,10,0),"")</f>
        <v>0.45594876208588836</v>
      </c>
      <c r="X40" s="2">
        <f t="shared" si="17"/>
        <v>1</v>
      </c>
      <c r="Y40" s="2">
        <f>IFERROR(VLOOKUP($C40,Synthetic!$A:$M,12,0),"")</f>
        <v>6.924397450758224E-2</v>
      </c>
      <c r="Z40" s="2">
        <f t="shared" si="18"/>
        <v>0.61503067484662577</v>
      </c>
      <c r="AA40" s="2">
        <f t="shared" si="19"/>
        <v>0.74500883962899289</v>
      </c>
      <c r="AB40" s="2">
        <f t="shared" si="20"/>
        <v>1.0721672042371468</v>
      </c>
      <c r="AC40" s="2">
        <f t="shared" si="21"/>
        <v>3.0488192136898942</v>
      </c>
      <c r="AD40" s="2">
        <f t="shared" si="22"/>
        <v>0.75301441056721097</v>
      </c>
      <c r="AE40" s="2">
        <f t="shared" si="23"/>
        <v>3</v>
      </c>
      <c r="AF40" s="2">
        <f t="shared" si="24"/>
        <v>3</v>
      </c>
    </row>
    <row r="41" spans="1:32" hidden="1" x14ac:dyDescent="0.3">
      <c r="A41" s="9" t="str">
        <f t="shared" si="1"/>
        <v>H0123201182</v>
      </c>
      <c r="B41" s="2" t="s">
        <v>123</v>
      </c>
      <c r="C41" s="2">
        <v>201182</v>
      </c>
      <c r="D41" s="2" t="s">
        <v>112</v>
      </c>
      <c r="E41" s="2">
        <v>3</v>
      </c>
      <c r="F41" s="2" t="s">
        <v>7</v>
      </c>
      <c r="G41" s="2" t="s">
        <v>1</v>
      </c>
      <c r="H41" s="7">
        <f>VLOOKUP($C41,CutPoints!$A:$U,18,0)</f>
        <v>0.91</v>
      </c>
      <c r="I41" s="7">
        <f>VLOOKUP($C41,CutPoints!$A:$U,19,0)</f>
        <v>0.88</v>
      </c>
      <c r="J41" s="7">
        <f>VLOOKUP($C41,CutPoints!$A:$U,20,0)</f>
        <v>0.85</v>
      </c>
      <c r="K41" s="7">
        <f>VLOOKUP($C41,CutPoints!$A:$U,21,0)</f>
        <v>0.81</v>
      </c>
      <c r="L41" s="7">
        <v>756</v>
      </c>
      <c r="M41" s="7">
        <v>879</v>
      </c>
      <c r="N41" s="7"/>
      <c r="O41" s="8">
        <f t="shared" si="15"/>
        <v>0.86006825938566556</v>
      </c>
      <c r="P41" s="7">
        <f t="shared" si="16"/>
        <v>3</v>
      </c>
      <c r="Q41" s="2">
        <f>IFERROR(VLOOKUP(C41,Thresholds!A:C,3,0), "")</f>
        <v>30</v>
      </c>
      <c r="R41" s="2">
        <f>IFERROR(VLOOKUP($C41,Synthetic!$A:$M,3,0),"")</f>
        <v>0.29618441012466212</v>
      </c>
      <c r="S41" s="2">
        <f>IFERROR(VLOOKUP($C41,Synthetic!$A:$M,6,0),"")</f>
        <v>319</v>
      </c>
      <c r="T41" s="2">
        <f>IFERROR(VLOOKUP($C41,Synthetic!$A:$M,4,0),"")</f>
        <v>7.1396958023371981E-3</v>
      </c>
      <c r="U41" s="2">
        <f>IFERROR(VLOOKUP($C41,Synthetic!$A:$M,7,0),"")</f>
        <v>474</v>
      </c>
      <c r="V41" s="2">
        <f>IFERROR(VLOOKUP($C41,Synthetic!$A:$M,9,0),"")</f>
        <v>0.62623836972167579</v>
      </c>
      <c r="W41" s="2">
        <f>IFERROR(VLOOKUP($C41,Synthetic!$A:$M,10,0),"")</f>
        <v>0.61500836972167583</v>
      </c>
      <c r="X41" s="2">
        <f t="shared" si="17"/>
        <v>-1</v>
      </c>
      <c r="Y41" s="2">
        <f>IFERROR(VLOOKUP($C41,Synthetic!$A:$M,12,0),"")</f>
        <v>0.90545751368075678</v>
      </c>
      <c r="Z41" s="2">
        <f t="shared" si="18"/>
        <v>0.59773013871374525</v>
      </c>
      <c r="AA41" s="2">
        <f t="shared" si="19"/>
        <v>0.12341367293830398</v>
      </c>
      <c r="AB41" s="2">
        <f t="shared" si="20"/>
        <v>-1.9604932830670552</v>
      </c>
      <c r="AC41" s="2">
        <f t="shared" si="21"/>
        <v>0.24188955584243563</v>
      </c>
      <c r="AD41" s="2">
        <f t="shared" si="22"/>
        <v>0.19477541678684129</v>
      </c>
      <c r="AE41" s="2">
        <f t="shared" si="23"/>
        <v>-3</v>
      </c>
      <c r="AF41" s="2">
        <f t="shared" si="24"/>
        <v>3</v>
      </c>
    </row>
    <row r="42" spans="1:32" hidden="1" x14ac:dyDescent="0.3">
      <c r="A42" s="9" t="str">
        <f t="shared" si="1"/>
        <v>H0123201183</v>
      </c>
      <c r="B42" s="2" t="s">
        <v>123</v>
      </c>
      <c r="C42" s="2">
        <v>201183</v>
      </c>
      <c r="D42" s="2" t="s">
        <v>115</v>
      </c>
      <c r="E42" s="2">
        <v>1</v>
      </c>
      <c r="F42" s="2" t="s">
        <v>7</v>
      </c>
      <c r="G42" s="2" t="s">
        <v>1</v>
      </c>
      <c r="H42" s="7">
        <f>VLOOKUP($C42,CutPoints!$A:$U,18,0)</f>
        <v>0.93</v>
      </c>
      <c r="I42" s="7">
        <f>VLOOKUP($C42,CutPoints!$A:$U,19,0)</f>
        <v>0.89</v>
      </c>
      <c r="J42" s="7">
        <f>VLOOKUP($C42,CutPoints!$A:$U,20,0)</f>
        <v>0.86</v>
      </c>
      <c r="K42" s="7">
        <f>VLOOKUP($C42,CutPoints!$A:$U,21,0)</f>
        <v>0.81</v>
      </c>
      <c r="L42" s="7">
        <v>631</v>
      </c>
      <c r="M42" s="7">
        <v>742</v>
      </c>
      <c r="N42" s="7"/>
      <c r="O42" s="8">
        <f t="shared" si="15"/>
        <v>0.85040431266846361</v>
      </c>
      <c r="P42" s="7">
        <f t="shared" si="16"/>
        <v>2</v>
      </c>
      <c r="Q42" s="2">
        <f>IFERROR(VLOOKUP(C42,Thresholds!A:C,3,0), "")</f>
        <v>30</v>
      </c>
      <c r="R42" s="2">
        <f>IFERROR(VLOOKUP($C42,Synthetic!$A:$M,3,0),"")</f>
        <v>0.93553955697702129</v>
      </c>
      <c r="S42" s="2">
        <f>IFERROR(VLOOKUP($C42,Synthetic!$A:$M,6,0),"")</f>
        <v>233</v>
      </c>
      <c r="T42" s="2">
        <f>IFERROR(VLOOKUP($C42,Synthetic!$A:$M,4,0),"")</f>
        <v>0.11184256792131042</v>
      </c>
      <c r="U42" s="2">
        <f>IFERROR(VLOOKUP($C42,Synthetic!$A:$M,7,0),"")</f>
        <v>478</v>
      </c>
      <c r="V42" s="2">
        <f>IFERROR(VLOOKUP($C42,Synthetic!$A:$M,9,0),"")</f>
        <v>0.59418397471836037</v>
      </c>
      <c r="W42" s="2">
        <f>IFERROR(VLOOKUP($C42,Synthetic!$A:$M,10,0),"")</f>
        <v>0.58295397471836041</v>
      </c>
      <c r="X42" s="2">
        <f t="shared" si="17"/>
        <v>-1</v>
      </c>
      <c r="Y42" s="2">
        <f>IFERROR(VLOOKUP($C42,Synthetic!$A:$M,12,0),"")</f>
        <v>0.64069232524241515</v>
      </c>
      <c r="Z42" s="2">
        <f t="shared" si="18"/>
        <v>0.6722925457102672</v>
      </c>
      <c r="AA42" s="2">
        <f t="shared" si="19"/>
        <v>0.3817742113108753</v>
      </c>
      <c r="AB42" s="2">
        <f t="shared" si="20"/>
        <v>-0.48202438060901692</v>
      </c>
      <c r="AC42" s="2">
        <f t="shared" si="21"/>
        <v>0.95000150872734601</v>
      </c>
      <c r="AD42" s="2">
        <f t="shared" si="22"/>
        <v>0.48717988395165779</v>
      </c>
      <c r="AE42" s="2">
        <f t="shared" si="23"/>
        <v>-1</v>
      </c>
      <c r="AF42" s="2">
        <f t="shared" si="24"/>
        <v>1</v>
      </c>
    </row>
    <row r="43" spans="1:32" hidden="1" x14ac:dyDescent="0.3">
      <c r="A43" s="9" t="str">
        <f t="shared" si="1"/>
        <v>H0123201185</v>
      </c>
      <c r="B43" s="2" t="s">
        <v>123</v>
      </c>
      <c r="C43" s="2">
        <v>201185</v>
      </c>
      <c r="D43" s="2" t="s">
        <v>51</v>
      </c>
      <c r="E43" s="2">
        <v>1</v>
      </c>
      <c r="F43" s="2" t="s">
        <v>7</v>
      </c>
      <c r="G43" s="2" t="s">
        <v>6</v>
      </c>
      <c r="H43" s="7">
        <f>VLOOKUP($C43,CutPoints!$A:$U,18,0)</f>
        <v>0.06</v>
      </c>
      <c r="I43" s="7">
        <f>VLOOKUP($C43,CutPoints!$A:$U,19,0)</f>
        <v>0.08</v>
      </c>
      <c r="J43" s="7">
        <f>VLOOKUP($C43,CutPoints!$A:$U,20,0)</f>
        <v>0.1</v>
      </c>
      <c r="K43" s="7">
        <f>VLOOKUP($C43,CutPoints!$A:$U,21,0)</f>
        <v>0.16</v>
      </c>
      <c r="L43" s="7">
        <v>75</v>
      </c>
      <c r="M43" s="7">
        <v>801</v>
      </c>
      <c r="N43" s="7"/>
      <c r="O43" s="8">
        <f t="shared" si="15"/>
        <v>9.3632958801498134E-2</v>
      </c>
      <c r="P43" s="7">
        <f t="shared" si="16"/>
        <v>3</v>
      </c>
      <c r="Q43" s="2">
        <f>IFERROR(VLOOKUP(C43,Thresholds!A:C,3,0), "")</f>
        <v>30</v>
      </c>
      <c r="R43" s="2">
        <f>IFERROR(VLOOKUP($C43,Synthetic!$A:$M,3,0),"")</f>
        <v>0.69181196577153448</v>
      </c>
      <c r="S43" s="2">
        <f>IFERROR(VLOOKUP($C43,Synthetic!$A:$M,6,0),"")</f>
        <v>201</v>
      </c>
      <c r="T43" s="2">
        <f>IFERROR(VLOOKUP($C43,Synthetic!$A:$M,4,0),"")</f>
        <v>0.59046835188710989</v>
      </c>
      <c r="U43" s="2">
        <f>IFERROR(VLOOKUP($C43,Synthetic!$A:$M,7,0),"")</f>
        <v>446</v>
      </c>
      <c r="V43" s="2">
        <f>IFERROR(VLOOKUP($C43,Synthetic!$A:$M,9,0),"")</f>
        <v>9.0151271309202197E-2</v>
      </c>
      <c r="W43" s="2">
        <f>IFERROR(VLOOKUP($C43,Synthetic!$A:$M,10,0),"")</f>
        <v>7.8921271309202193E-2</v>
      </c>
      <c r="X43" s="2">
        <f t="shared" si="17"/>
        <v>1</v>
      </c>
      <c r="Y43" s="2">
        <f>IFERROR(VLOOKUP($C43,Synthetic!$A:$M,12,0),"")</f>
        <v>0.88299336119112726</v>
      </c>
      <c r="Z43" s="2">
        <f t="shared" si="18"/>
        <v>0.68933539412673883</v>
      </c>
      <c r="AA43" s="2">
        <f t="shared" si="19"/>
        <v>0.6219522257522867</v>
      </c>
      <c r="AB43" s="2">
        <f t="shared" si="20"/>
        <v>0.49784270778497774</v>
      </c>
      <c r="AC43" s="2">
        <f t="shared" si="21"/>
        <v>3.0238210634680254</v>
      </c>
      <c r="AD43" s="2">
        <f t="shared" si="22"/>
        <v>0.75148000265744264</v>
      </c>
      <c r="AE43" s="2">
        <f t="shared" si="23"/>
        <v>1</v>
      </c>
      <c r="AF43" s="2">
        <f t="shared" si="24"/>
        <v>1</v>
      </c>
    </row>
    <row r="44" spans="1:32" hidden="1" x14ac:dyDescent="0.3">
      <c r="A44" s="9" t="str">
        <f t="shared" si="1"/>
        <v>H0123201187</v>
      </c>
      <c r="B44" s="2" t="s">
        <v>123</v>
      </c>
      <c r="C44" s="2">
        <v>201187</v>
      </c>
      <c r="D44" s="2" t="s">
        <v>52</v>
      </c>
      <c r="E44" s="2">
        <v>1</v>
      </c>
      <c r="F44" s="2" t="s">
        <v>7</v>
      </c>
      <c r="G44" s="2" t="s">
        <v>6</v>
      </c>
      <c r="H44" s="7">
        <f>VLOOKUP($C44,CutPoints!$A:$U,18,0)</f>
        <v>7.0000000000000007E-2</v>
      </c>
      <c r="I44" s="7">
        <f>VLOOKUP($C44,CutPoints!$A:$U,19,0)</f>
        <v>0.12</v>
      </c>
      <c r="J44" s="7">
        <f>VLOOKUP($C44,CutPoints!$A:$U,20,0)</f>
        <v>0.17</v>
      </c>
      <c r="K44" s="7">
        <f>VLOOKUP($C44,CutPoints!$A:$U,21,0)</f>
        <v>0.24</v>
      </c>
      <c r="L44" s="7">
        <v>123</v>
      </c>
      <c r="M44" s="7">
        <v>1000</v>
      </c>
      <c r="N44" s="7"/>
      <c r="O44" s="8">
        <f t="shared" si="15"/>
        <v>0.123</v>
      </c>
      <c r="P44" s="7">
        <f t="shared" si="16"/>
        <v>4</v>
      </c>
      <c r="Q44" s="2">
        <f>IFERROR(VLOOKUP(C44,Thresholds!A:C,3,0), "")</f>
        <v>30</v>
      </c>
      <c r="R44" s="2">
        <f>IFERROR(VLOOKUP($C44,Synthetic!$A:$M,3,0),"")</f>
        <v>0.16476524238542356</v>
      </c>
      <c r="S44" s="2">
        <f>IFERROR(VLOOKUP($C44,Synthetic!$A:$M,6,0),"")</f>
        <v>342</v>
      </c>
      <c r="T44" s="2">
        <f>IFERROR(VLOOKUP($C44,Synthetic!$A:$M,4,0),"")</f>
        <v>0.63663059591370297</v>
      </c>
      <c r="U44" s="2">
        <f>IFERROR(VLOOKUP($C44,Synthetic!$A:$M,7,0),"")</f>
        <v>418</v>
      </c>
      <c r="V44" s="2">
        <f>IFERROR(VLOOKUP($C44,Synthetic!$A:$M,9,0),"")</f>
        <v>0.77738549906441201</v>
      </c>
      <c r="W44" s="2">
        <f>IFERROR(VLOOKUP($C44,Synthetic!$A:$M,10,0),"")</f>
        <v>0.76615549906441205</v>
      </c>
      <c r="X44" s="2">
        <f t="shared" si="17"/>
        <v>-1</v>
      </c>
      <c r="Y44" s="2">
        <f>IFERROR(VLOOKUP($C44,Synthetic!$A:$M,12,0),"")</f>
        <v>0.40259500405740056</v>
      </c>
      <c r="Z44" s="2">
        <f t="shared" si="18"/>
        <v>0.55000000000000004</v>
      </c>
      <c r="AA44" s="2">
        <f t="shared" si="19"/>
        <v>0.42429118682597722</v>
      </c>
      <c r="AB44" s="2">
        <f t="shared" si="20"/>
        <v>-0.30518201928587985</v>
      </c>
      <c r="AC44" s="2">
        <f t="shared" si="21"/>
        <v>0.91965675857960594</v>
      </c>
      <c r="AD44" s="2">
        <f t="shared" si="22"/>
        <v>0.47907353982390011</v>
      </c>
      <c r="AE44" s="2">
        <f t="shared" si="23"/>
        <v>-1</v>
      </c>
      <c r="AF44" s="2">
        <f t="shared" si="24"/>
        <v>1</v>
      </c>
    </row>
    <row r="45" spans="1:32" hidden="1" x14ac:dyDescent="0.3">
      <c r="A45" s="9" t="str">
        <f t="shared" si="1"/>
        <v>H0123999813</v>
      </c>
      <c r="B45" s="2" t="s">
        <v>123</v>
      </c>
      <c r="C45" s="2">
        <v>999813</v>
      </c>
      <c r="D45" s="2" t="s">
        <v>108</v>
      </c>
      <c r="E45" s="2">
        <v>5</v>
      </c>
      <c r="F45" s="2" t="s">
        <v>8</v>
      </c>
      <c r="G45" s="2" t="s">
        <v>1</v>
      </c>
      <c r="H45" s="7">
        <f>VLOOKUP($C45,CutPoints!$A:$U,18,0)</f>
        <v>0.51086900000000002</v>
      </c>
      <c r="I45" s="7">
        <f>VLOOKUP($C45,CutPoints!$A:$U,19,0)</f>
        <v>0.25662099999999999</v>
      </c>
      <c r="J45" s="7">
        <f>VLOOKUP($C45,CutPoints!$A:$U,20,0)</f>
        <v>0</v>
      </c>
      <c r="K45" s="7">
        <f>VLOOKUP($C45,CutPoints!$A:$U,21,0)</f>
        <v>-0.23536899999999999</v>
      </c>
      <c r="L45" s="7"/>
      <c r="M45" s="7"/>
      <c r="N45" s="7"/>
      <c r="O45" s="8"/>
      <c r="P45" s="7">
        <f>IF($G45="H",IF(ROUND(O45,2)&gt;=H45,5,IF(ROUND(O45,2)&gt;=I45,4,IF(ROUND(O45,2)&gt;=J45,3,IF(ROUND(O45,2)&gt;=K45,2,1)))),IF(ROUND(O45,2)&lt;=H45,5,IF(ROUND(O45,2)&lt;=I45,4,IF(ROUND(O45,2)&lt;=J45,3,IF(ROUND(O45,2)&lt;=K45,2,1)))))</f>
        <v>3</v>
      </c>
      <c r="Q45" s="2"/>
    </row>
    <row r="46" spans="1:32" hidden="1" x14ac:dyDescent="0.3">
      <c r="A46" s="9" t="str">
        <f t="shared" si="1"/>
        <v>H0123999923</v>
      </c>
      <c r="B46" s="2" t="s">
        <v>123</v>
      </c>
      <c r="C46" s="2">
        <v>999923</v>
      </c>
      <c r="D46" s="2" t="s">
        <v>101</v>
      </c>
      <c r="E46" s="2">
        <v>5</v>
      </c>
      <c r="F46" s="2" t="s">
        <v>8</v>
      </c>
      <c r="G46" s="2" t="s">
        <v>1</v>
      </c>
      <c r="H46" s="7">
        <f>VLOOKUP($C46,CutPoints!$A:$U,18,0)</f>
        <v>0.399314</v>
      </c>
      <c r="I46" s="7">
        <f>VLOOKUP($C46,CutPoints!$A:$U,19,0)</f>
        <v>0.18931700000000001</v>
      </c>
      <c r="J46" s="7">
        <f>VLOOKUP($C46,CutPoints!$A:$U,20,0)</f>
        <v>0</v>
      </c>
      <c r="K46" s="7">
        <f>VLOOKUP($C46,CutPoints!$A:$U,21,0)</f>
        <v>-0.187949</v>
      </c>
      <c r="L46" s="7"/>
      <c r="M46" s="7"/>
      <c r="N46" s="7"/>
      <c r="O46" s="8"/>
      <c r="P46" s="7">
        <f>IF($G46="H",IF(ROUND(O46,2)&gt;=H46,5,IF(ROUND(O46,2)&gt;=I46,4,IF(ROUND(O46,2)&gt;=J46,3,IF(ROUND(O46,2)&gt;=K46,2,1)))),IF(ROUND(O46,2)&lt;=H46,5,IF(ROUND(O46,2)&lt;=I46,4,IF(ROUND(O46,2)&lt;=J46,3,IF(ROUND(O46,2)&lt;=K46,2,1)))))</f>
        <v>3</v>
      </c>
      <c r="Q46" s="2"/>
    </row>
    <row r="47" spans="1:32" hidden="1" x14ac:dyDescent="0.3">
      <c r="A47" s="9" t="str">
        <f t="shared" si="1"/>
        <v>H0123108009</v>
      </c>
      <c r="B47" s="2" t="s">
        <v>123</v>
      </c>
      <c r="C47" s="2">
        <v>108009</v>
      </c>
      <c r="D47" s="2" t="s">
        <v>89</v>
      </c>
      <c r="E47" s="2">
        <v>3</v>
      </c>
      <c r="F47" s="2" t="s">
        <v>9</v>
      </c>
      <c r="G47" s="2" t="s">
        <v>6</v>
      </c>
      <c r="H47" s="7">
        <f>VLOOKUP($C47,CutPoints!$A:$U,18,0)</f>
        <v>0.08</v>
      </c>
      <c r="I47" s="7">
        <f>VLOOKUP($C47,CutPoints!$A:$U,19,0)</f>
        <v>0.1</v>
      </c>
      <c r="J47" s="7">
        <f>VLOOKUP($C47,CutPoints!$A:$U,20,0)</f>
        <v>0.11</v>
      </c>
      <c r="K47" s="7">
        <f>VLOOKUP($C47,CutPoints!$A:$U,21,0)</f>
        <v>0.13</v>
      </c>
      <c r="L47" s="7">
        <v>200</v>
      </c>
      <c r="M47" s="7">
        <v>4200</v>
      </c>
      <c r="N47" s="7">
        <v>392</v>
      </c>
      <c r="O47" s="8">
        <f>L47/N47*0.1079</f>
        <v>5.5051020408163266E-2</v>
      </c>
      <c r="P47" s="7">
        <f>IF(M47&gt;=Q47, IF($G47="H",IF(ROUND(O47,2)&gt;=H47,5,IF(ROUND(O47,2)&gt;=I47,4,IF(ROUND(O47,2)&gt;=J47,3,IF(ROUND(O47,2)&gt;=K47,2,1)))),IF(ROUND(O47,2)&lt;=H47,5,IF(ROUND(O47,2)&lt;=I47,4,IF(ROUND(O47,2)&lt;=J47,3,IF(ROUND(O47,2)&lt;=K47,2,1))))), "NR")</f>
        <v>5</v>
      </c>
      <c r="Q47" s="2">
        <f>IFERROR(VLOOKUP(C47,Thresholds!A:C,3,0), "")</f>
        <v>150</v>
      </c>
      <c r="R47" s="2">
        <f>IFERROR(VLOOKUP($C47,Synthetic!$A:$M,3,0),"")</f>
        <v>0.14353399999999999</v>
      </c>
      <c r="S47" s="2">
        <f>IFERROR(VLOOKUP($C47,Synthetic!$A:$M,6,0),"")</f>
        <v>213</v>
      </c>
      <c r="T47" s="2">
        <f>IFERROR(VLOOKUP($C47,Synthetic!$A:$M,4,0),"")</f>
        <v>0.13353499999999999</v>
      </c>
      <c r="U47" s="2">
        <f>IFERROR(VLOOKUP($C47,Synthetic!$A:$M,7,0),"")</f>
        <v>404</v>
      </c>
      <c r="V47" s="2">
        <f>IFERROR(VLOOKUP($C47,Synthetic!$A:$M,9,0),"")</f>
        <v>0.1806251504473495</v>
      </c>
      <c r="W47" s="2">
        <f>IFERROR(VLOOKUP($C47,Synthetic!$A:$M,10,0),"")</f>
        <v>0.16939515044734951</v>
      </c>
      <c r="X47" s="2">
        <f>IF(AD47&gt;V47,1,IF(AD47&gt;W47,0,-1))</f>
        <v>1</v>
      </c>
      <c r="Y47" s="2">
        <f>IFERROR(VLOOKUP($C47,Synthetic!$A:$M,12,0),"")</f>
        <v>0.68249427721429479</v>
      </c>
      <c r="Z47" s="2">
        <f>U47/(U47+S47)</f>
        <v>0.65478119935170176</v>
      </c>
      <c r="AA47" s="2">
        <f>(U47*T47+S47*R47)/(U47+S47)</f>
        <v>0.13698684278768233</v>
      </c>
      <c r="AB47" s="2">
        <f>LN(AA47/(1-AA47))</f>
        <v>-1.8405450536978638</v>
      </c>
      <c r="AC47" s="2">
        <f>EXP(AB47+Y47*Z47)</f>
        <v>0.24816519832179476</v>
      </c>
      <c r="AD47" s="2">
        <f>AC47/(1+AC47)</f>
        <v>0.19882400074562426</v>
      </c>
      <c r="AE47" s="2">
        <f>IFERROR(X47*E47,0)</f>
        <v>3</v>
      </c>
      <c r="AF47" s="2">
        <f>IF(AE47=0,0,E47)</f>
        <v>3</v>
      </c>
    </row>
    <row r="51" spans="4:4" x14ac:dyDescent="0.3">
      <c r="D51" s="1" t="s">
        <v>51</v>
      </c>
    </row>
    <row r="52" spans="4:4" x14ac:dyDescent="0.3">
      <c r="D52" s="1" t="s">
        <v>52</v>
      </c>
    </row>
  </sheetData>
  <autoFilter ref="A1:AF47" xr:uid="{D2AC483E-6A8C-4A21-A0B3-E7E5E2EAD41B}">
    <filterColumn colId="3">
      <filters>
        <filter val="C01: Breast Cancer Screening"/>
        <filter val="C14: Controlling High Blood Pressure"/>
      </filters>
    </filterColumn>
  </autoFilter>
  <sortState xmlns:xlrd2="http://schemas.microsoft.com/office/spreadsheetml/2017/richdata2" ref="B2:P47">
    <sortCondition ref="F2:F47"/>
    <sortCondition ref="C2:C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BF23-A5F0-4C08-AAB4-511C92AAC3E1}">
  <dimension ref="A1:M25"/>
  <sheetViews>
    <sheetView workbookViewId="0">
      <selection activeCell="C1" sqref="C1:L5"/>
    </sheetView>
  </sheetViews>
  <sheetFormatPr defaultRowHeight="14.5" x14ac:dyDescent="0.35"/>
  <cols>
    <col min="3" max="3" width="11.36328125" bestFit="1" customWidth="1"/>
    <col min="6" max="6" width="11.36328125" bestFit="1" customWidth="1"/>
    <col min="9" max="9" width="11.36328125" bestFit="1" customWidth="1"/>
    <col min="10" max="10" width="12" bestFit="1" customWidth="1"/>
    <col min="12" max="12" width="11.36328125" bestFit="1" customWidth="1"/>
  </cols>
  <sheetData>
    <row r="1" spans="1:13" ht="29" x14ac:dyDescent="0.35">
      <c r="A1" s="31" t="s">
        <v>56</v>
      </c>
      <c r="B1" s="31" t="s">
        <v>57</v>
      </c>
      <c r="C1" s="31" t="s">
        <v>183</v>
      </c>
      <c r="D1" s="31" t="s">
        <v>184</v>
      </c>
      <c r="E1" s="31" t="s">
        <v>185</v>
      </c>
      <c r="F1" s="31" t="s">
        <v>186</v>
      </c>
      <c r="G1" s="31" t="s">
        <v>187</v>
      </c>
      <c r="H1" s="31" t="s">
        <v>188</v>
      </c>
      <c r="I1" s="31" t="s">
        <v>189</v>
      </c>
      <c r="J1" s="31" t="s">
        <v>190</v>
      </c>
      <c r="K1" s="31" t="s">
        <v>191</v>
      </c>
      <c r="L1" s="31" t="s">
        <v>173</v>
      </c>
      <c r="M1" s="31" t="s">
        <v>192</v>
      </c>
    </row>
    <row r="2" spans="1:13" ht="58" x14ac:dyDescent="0.35">
      <c r="A2" s="32">
        <v>999810</v>
      </c>
      <c r="B2" s="33" t="s">
        <v>193</v>
      </c>
      <c r="C2" s="33">
        <v>0.84199999999999997</v>
      </c>
      <c r="D2" s="33">
        <v>0.84799999999999998</v>
      </c>
      <c r="E2" s="33"/>
      <c r="F2" s="33">
        <v>400</v>
      </c>
      <c r="G2" s="33">
        <v>430</v>
      </c>
      <c r="H2" s="33"/>
      <c r="I2" s="33">
        <v>0.89764999999999995</v>
      </c>
      <c r="J2" s="33">
        <v>0.87656999999999996</v>
      </c>
      <c r="K2" s="33" t="s">
        <v>194</v>
      </c>
      <c r="L2" s="33">
        <v>0.93230000000000002</v>
      </c>
      <c r="M2" s="33" t="s">
        <v>195</v>
      </c>
    </row>
    <row r="3" spans="1:13" ht="72.5" x14ac:dyDescent="0.35">
      <c r="A3" s="32">
        <v>999811</v>
      </c>
      <c r="B3" s="33" t="s">
        <v>196</v>
      </c>
      <c r="C3" s="33">
        <v>0.11228142809727015</v>
      </c>
      <c r="D3" s="33">
        <v>0.5197465612161325</v>
      </c>
      <c r="E3" s="32"/>
      <c r="F3" s="33">
        <v>251</v>
      </c>
      <c r="G3" s="33">
        <v>437</v>
      </c>
      <c r="H3" s="33"/>
      <c r="I3" s="33">
        <v>2.2320152005817717E-2</v>
      </c>
      <c r="J3" s="33">
        <v>1.1090152005817717E-2</v>
      </c>
      <c r="K3" s="33" t="s">
        <v>194</v>
      </c>
      <c r="L3" s="33">
        <v>0.70906828566016211</v>
      </c>
      <c r="M3" s="32" t="s">
        <v>197</v>
      </c>
    </row>
    <row r="4" spans="1:13" ht="58" x14ac:dyDescent="0.35">
      <c r="A4" s="32">
        <v>999901</v>
      </c>
      <c r="B4" s="33" t="s">
        <v>198</v>
      </c>
      <c r="C4" s="33">
        <v>1.5265874680341796E-2</v>
      </c>
      <c r="D4" s="33">
        <v>0.23074254917472514</v>
      </c>
      <c r="E4" s="33"/>
      <c r="F4" s="33">
        <v>342</v>
      </c>
      <c r="G4" s="33">
        <v>484</v>
      </c>
      <c r="H4" s="33"/>
      <c r="I4" s="33">
        <v>0.65279442463793569</v>
      </c>
      <c r="J4" s="33">
        <v>0.64156442463793573</v>
      </c>
      <c r="K4" s="33" t="s">
        <v>194</v>
      </c>
      <c r="L4" s="33">
        <v>0.73038471028240459</v>
      </c>
      <c r="M4" s="33" t="s">
        <v>199</v>
      </c>
    </row>
    <row r="5" spans="1:13" ht="72.5" x14ac:dyDescent="0.35">
      <c r="A5" s="32">
        <v>999911</v>
      </c>
      <c r="B5" s="33" t="s">
        <v>200</v>
      </c>
      <c r="C5" s="33">
        <v>0.95874411842094431</v>
      </c>
      <c r="D5" s="33">
        <v>0.61110453518306074</v>
      </c>
      <c r="E5" s="33"/>
      <c r="F5" s="33">
        <v>224</v>
      </c>
      <c r="G5" s="33">
        <v>430</v>
      </c>
      <c r="H5" s="33"/>
      <c r="I5" s="33">
        <v>0.27857366231184821</v>
      </c>
      <c r="J5" s="33">
        <v>0.2673436623118482</v>
      </c>
      <c r="K5" s="33" t="s">
        <v>194</v>
      </c>
      <c r="L5" s="33">
        <v>0.3881308276306451</v>
      </c>
      <c r="M5" s="33" t="s">
        <v>201</v>
      </c>
    </row>
    <row r="6" spans="1:13" ht="72.5" x14ac:dyDescent="0.35">
      <c r="A6" s="32">
        <v>999915</v>
      </c>
      <c r="B6" s="33" t="s">
        <v>200</v>
      </c>
      <c r="C6" s="33">
        <v>0.49820269931273053</v>
      </c>
      <c r="D6" s="33">
        <v>0.62447198051136599</v>
      </c>
      <c r="E6" s="33"/>
      <c r="F6" s="33">
        <v>259</v>
      </c>
      <c r="G6" s="33">
        <v>494</v>
      </c>
      <c r="H6" s="33"/>
      <c r="I6" s="33">
        <v>0.53052463038931164</v>
      </c>
      <c r="J6" s="33">
        <v>0.51929463038931167</v>
      </c>
      <c r="K6" s="33" t="s">
        <v>194</v>
      </c>
      <c r="L6" s="33">
        <v>0.66290992734396703</v>
      </c>
      <c r="M6" s="33" t="s">
        <v>201</v>
      </c>
    </row>
    <row r="7" spans="1:13" ht="72.5" x14ac:dyDescent="0.35">
      <c r="A7" s="32">
        <v>999922</v>
      </c>
      <c r="B7" s="33" t="s">
        <v>200</v>
      </c>
      <c r="C7" s="33">
        <v>0.89561684445520695</v>
      </c>
      <c r="D7" s="33">
        <v>0.16113843916994453</v>
      </c>
      <c r="E7" s="33"/>
      <c r="F7" s="33">
        <v>259</v>
      </c>
      <c r="G7" s="33">
        <v>439</v>
      </c>
      <c r="H7" s="33"/>
      <c r="I7" s="33">
        <v>0.76090000000000002</v>
      </c>
      <c r="J7" s="33">
        <v>0.72341999999999995</v>
      </c>
      <c r="K7" s="33" t="s">
        <v>194</v>
      </c>
      <c r="L7" s="33">
        <v>0.78525777001487085</v>
      </c>
      <c r="M7" s="33" t="s">
        <v>201</v>
      </c>
    </row>
    <row r="8" spans="1:13" ht="72.5" x14ac:dyDescent="0.35">
      <c r="A8" s="32">
        <v>101803</v>
      </c>
      <c r="B8" s="33" t="s">
        <v>202</v>
      </c>
      <c r="C8" s="33">
        <v>0.26478043379555016</v>
      </c>
      <c r="D8" s="33">
        <v>0.70290640449937136</v>
      </c>
      <c r="E8" s="33"/>
      <c r="F8" s="33">
        <v>305</v>
      </c>
      <c r="G8" s="33">
        <v>402</v>
      </c>
      <c r="H8" s="33"/>
      <c r="I8" s="33">
        <v>0.52002982973306122</v>
      </c>
      <c r="J8" s="33">
        <v>0.50879982973306126</v>
      </c>
      <c r="K8" s="33" t="s">
        <v>194</v>
      </c>
      <c r="L8" s="33">
        <v>0.62742444236455874</v>
      </c>
      <c r="M8" s="33" t="s">
        <v>203</v>
      </c>
    </row>
    <row r="9" spans="1:13" ht="58" x14ac:dyDescent="0.35">
      <c r="A9" s="32">
        <v>104201</v>
      </c>
      <c r="B9" s="33" t="s">
        <v>204</v>
      </c>
      <c r="C9" s="33">
        <v>0.79851196666583579</v>
      </c>
      <c r="D9" s="33">
        <v>0.69081743274656915</v>
      </c>
      <c r="E9" s="33"/>
      <c r="F9" s="33">
        <v>302</v>
      </c>
      <c r="G9" s="33">
        <v>457</v>
      </c>
      <c r="H9" s="33"/>
      <c r="I9" s="33">
        <v>0.97358982684939743</v>
      </c>
      <c r="J9" s="33">
        <v>0.96235982684939747</v>
      </c>
      <c r="K9" s="33" t="s">
        <v>194</v>
      </c>
      <c r="L9" s="33">
        <v>0.87432379675838634</v>
      </c>
      <c r="M9" s="33" t="s">
        <v>205</v>
      </c>
    </row>
    <row r="10" spans="1:13" ht="58" x14ac:dyDescent="0.35">
      <c r="A10" s="32">
        <v>107125</v>
      </c>
      <c r="B10" s="33" t="s">
        <v>206</v>
      </c>
      <c r="C10" s="33">
        <v>0.76111141527330428</v>
      </c>
      <c r="D10" s="33">
        <v>7.3470908901160814E-2</v>
      </c>
      <c r="E10" s="33"/>
      <c r="F10" s="33">
        <v>273</v>
      </c>
      <c r="G10" s="33">
        <v>491</v>
      </c>
      <c r="H10" s="33"/>
      <c r="I10" s="33">
        <v>0.61751972044690684</v>
      </c>
      <c r="J10" s="33">
        <v>0.60628972044690688</v>
      </c>
      <c r="K10" s="33" t="s">
        <v>194</v>
      </c>
      <c r="L10" s="33">
        <v>1.2363198255509689E-2</v>
      </c>
      <c r="M10" s="33" t="s">
        <v>207</v>
      </c>
    </row>
    <row r="11" spans="1:13" ht="43.5" x14ac:dyDescent="0.35">
      <c r="A11" s="32">
        <v>107126</v>
      </c>
      <c r="B11" s="33"/>
      <c r="C11" s="33">
        <v>0.80954242075627258</v>
      </c>
      <c r="D11" s="33">
        <v>0.43134903230540544</v>
      </c>
      <c r="E11" s="33"/>
      <c r="F11" s="33">
        <v>296</v>
      </c>
      <c r="G11" s="33">
        <v>494</v>
      </c>
      <c r="H11" s="33"/>
      <c r="I11" s="33">
        <v>0.54761030219120876</v>
      </c>
      <c r="J11" s="33">
        <v>0.5363803021912088</v>
      </c>
      <c r="K11" s="33" t="s">
        <v>194</v>
      </c>
      <c r="L11" s="33">
        <v>0.48822612996915604</v>
      </c>
      <c r="M11" s="33"/>
    </row>
    <row r="12" spans="1:13" ht="58" x14ac:dyDescent="0.35">
      <c r="A12" s="32">
        <v>201507</v>
      </c>
      <c r="B12" s="33" t="s">
        <v>208</v>
      </c>
      <c r="C12" s="33">
        <v>0.70067028267815235</v>
      </c>
      <c r="D12" s="33">
        <v>0.30661891520637807</v>
      </c>
      <c r="E12" s="33"/>
      <c r="F12" s="33">
        <v>281</v>
      </c>
      <c r="G12" s="33">
        <v>405</v>
      </c>
      <c r="H12" s="33"/>
      <c r="I12" s="33">
        <v>0.92711823389579306</v>
      </c>
      <c r="J12" s="33">
        <v>0.9158882338957931</v>
      </c>
      <c r="K12" s="33" t="s">
        <v>194</v>
      </c>
      <c r="L12" s="33">
        <v>9.0948436621954953E-2</v>
      </c>
      <c r="M12" s="33" t="s">
        <v>209</v>
      </c>
    </row>
    <row r="13" spans="1:13" ht="58" x14ac:dyDescent="0.35">
      <c r="A13" s="32">
        <v>600070</v>
      </c>
      <c r="B13" s="33" t="s">
        <v>210</v>
      </c>
      <c r="C13" s="33">
        <v>0.93400969860151395</v>
      </c>
      <c r="D13" s="33">
        <v>0.34861506025882016</v>
      </c>
      <c r="E13" s="33"/>
      <c r="F13" s="33">
        <v>251</v>
      </c>
      <c r="G13" s="33">
        <v>445</v>
      </c>
      <c r="H13" s="33"/>
      <c r="I13" s="33">
        <v>0.41154171926495631</v>
      </c>
      <c r="J13" s="33">
        <v>0.40031171926495629</v>
      </c>
      <c r="K13" s="33" t="s">
        <v>194</v>
      </c>
      <c r="L13" s="33">
        <v>3.2072071923159196E-2</v>
      </c>
      <c r="M13" s="33" t="s">
        <v>207</v>
      </c>
    </row>
    <row r="14" spans="1:13" x14ac:dyDescent="0.35">
      <c r="A14" s="32">
        <v>600484</v>
      </c>
      <c r="B14" s="33"/>
      <c r="C14" s="33">
        <v>0.51462072711707996</v>
      </c>
      <c r="D14" s="33">
        <v>0.15607962209671256</v>
      </c>
      <c r="E14" s="33"/>
      <c r="F14" s="33">
        <v>269</v>
      </c>
      <c r="G14" s="33">
        <v>434</v>
      </c>
      <c r="H14" s="33"/>
      <c r="I14" s="33">
        <v>0.24657905490205279</v>
      </c>
      <c r="J14" s="33">
        <v>0.2353490549020528</v>
      </c>
      <c r="K14" s="33"/>
      <c r="L14" s="33">
        <v>0.45176652110395543</v>
      </c>
      <c r="M14" s="33"/>
    </row>
    <row r="15" spans="1:13" ht="43.5" x14ac:dyDescent="0.35">
      <c r="A15" s="32">
        <v>900793</v>
      </c>
      <c r="B15" s="33" t="s">
        <v>211</v>
      </c>
      <c r="C15" s="33">
        <v>6.7607028370086919E-2</v>
      </c>
      <c r="D15" s="33">
        <v>1.6757957740557439E-2</v>
      </c>
      <c r="E15" s="33"/>
      <c r="F15" s="33">
        <v>238</v>
      </c>
      <c r="G15" s="33">
        <v>454</v>
      </c>
      <c r="H15" s="33"/>
      <c r="I15" s="33">
        <v>0.46627485863839668</v>
      </c>
      <c r="J15" s="33">
        <v>0.45504485863839667</v>
      </c>
      <c r="K15" s="33" t="s">
        <v>194</v>
      </c>
      <c r="L15" s="33">
        <v>0.46421491893025013</v>
      </c>
      <c r="M15" s="33" t="s">
        <v>207</v>
      </c>
    </row>
    <row r="16" spans="1:13" ht="72.5" x14ac:dyDescent="0.35">
      <c r="A16" s="32">
        <v>909230</v>
      </c>
      <c r="B16" s="33" t="s">
        <v>212</v>
      </c>
      <c r="C16" s="33">
        <v>5.4463475586909005E-2</v>
      </c>
      <c r="D16" s="33">
        <v>0.8990983995808296</v>
      </c>
      <c r="E16" s="33"/>
      <c r="F16" s="33">
        <v>308</v>
      </c>
      <c r="G16" s="33">
        <v>464</v>
      </c>
      <c r="H16" s="33"/>
      <c r="I16" s="33">
        <v>0.56178905153245473</v>
      </c>
      <c r="J16" s="33">
        <v>0.55055905153245477</v>
      </c>
      <c r="K16" s="33" t="s">
        <v>194</v>
      </c>
      <c r="L16" s="33">
        <v>0.66913617872429998</v>
      </c>
      <c r="M16" s="33" t="s">
        <v>207</v>
      </c>
    </row>
    <row r="17" spans="1:13" ht="58" x14ac:dyDescent="0.35">
      <c r="A17" s="32">
        <v>999600</v>
      </c>
      <c r="B17" s="33" t="s">
        <v>213</v>
      </c>
      <c r="C17" s="33">
        <v>0.27430701004888525</v>
      </c>
      <c r="D17" s="33">
        <v>6.1932149742778164E-2</v>
      </c>
      <c r="E17" s="33"/>
      <c r="F17" s="33">
        <v>221</v>
      </c>
      <c r="G17" s="33">
        <v>417</v>
      </c>
      <c r="H17" s="33"/>
      <c r="I17" s="33">
        <v>0.96538261935500835</v>
      </c>
      <c r="J17" s="33">
        <v>0.95415261935500839</v>
      </c>
      <c r="K17" s="33" t="s">
        <v>194</v>
      </c>
      <c r="L17" s="33">
        <v>0.83778589043378571</v>
      </c>
      <c r="M17" s="33" t="s">
        <v>207</v>
      </c>
    </row>
    <row r="18" spans="1:13" ht="87" x14ac:dyDescent="0.35">
      <c r="A18" s="32">
        <v>999998</v>
      </c>
      <c r="B18" s="33" t="s">
        <v>214</v>
      </c>
      <c r="C18" s="33">
        <v>0.23524026550314747</v>
      </c>
      <c r="D18" s="33">
        <v>0.88954042658129706</v>
      </c>
      <c r="E18" s="33"/>
      <c r="F18" s="33">
        <v>245</v>
      </c>
      <c r="G18" s="33">
        <v>436</v>
      </c>
      <c r="H18" s="33"/>
      <c r="I18" s="33">
        <v>0.88109710985217737</v>
      </c>
      <c r="J18" s="33">
        <v>0.86986710985217741</v>
      </c>
      <c r="K18" s="33" t="s">
        <v>194</v>
      </c>
      <c r="L18" s="33">
        <v>0.15298893345133013</v>
      </c>
      <c r="M18" s="33" t="s">
        <v>207</v>
      </c>
    </row>
    <row r="19" spans="1:13" ht="72.5" x14ac:dyDescent="0.35">
      <c r="A19" s="32">
        <v>201180</v>
      </c>
      <c r="B19" s="33" t="s">
        <v>215</v>
      </c>
      <c r="C19" s="33">
        <v>0.39347264564425966</v>
      </c>
      <c r="D19" s="33">
        <v>0.51893374890829924</v>
      </c>
      <c r="E19" s="33"/>
      <c r="F19" s="33">
        <v>279</v>
      </c>
      <c r="G19" s="33">
        <v>485</v>
      </c>
      <c r="H19" s="33"/>
      <c r="I19" s="33">
        <v>0.42460278310168698</v>
      </c>
      <c r="J19" s="33">
        <v>0.41337278310168696</v>
      </c>
      <c r="K19" s="33" t="s">
        <v>194</v>
      </c>
      <c r="L19" s="33">
        <v>0.83755063397459861</v>
      </c>
      <c r="M19" s="33" t="s">
        <v>216</v>
      </c>
    </row>
    <row r="20" spans="1:13" ht="72.5" x14ac:dyDescent="0.35">
      <c r="A20" s="32">
        <v>201181</v>
      </c>
      <c r="B20" s="33" t="s">
        <v>215</v>
      </c>
      <c r="C20" s="33">
        <v>0.91053913725223723</v>
      </c>
      <c r="D20" s="33">
        <v>0.64139760595459305</v>
      </c>
      <c r="E20" s="33"/>
      <c r="F20" s="33">
        <v>251</v>
      </c>
      <c r="G20" s="33">
        <v>401</v>
      </c>
      <c r="H20" s="33"/>
      <c r="I20" s="33">
        <v>0.46717876208588838</v>
      </c>
      <c r="J20" s="33">
        <v>0.45594876208588836</v>
      </c>
      <c r="K20" s="33" t="s">
        <v>194</v>
      </c>
      <c r="L20" s="33">
        <v>6.924397450758224E-2</v>
      </c>
      <c r="M20" s="33" t="s">
        <v>216</v>
      </c>
    </row>
    <row r="21" spans="1:13" ht="72.5" x14ac:dyDescent="0.35">
      <c r="A21" s="32">
        <v>201182</v>
      </c>
      <c r="B21" s="33" t="s">
        <v>215</v>
      </c>
      <c r="C21" s="33">
        <v>0.29618441012466212</v>
      </c>
      <c r="D21" s="33">
        <v>7.1396958023371981E-3</v>
      </c>
      <c r="E21" s="33"/>
      <c r="F21" s="33">
        <v>319</v>
      </c>
      <c r="G21" s="33">
        <v>474</v>
      </c>
      <c r="H21" s="33"/>
      <c r="I21" s="33">
        <v>0.62623836972167579</v>
      </c>
      <c r="J21" s="33">
        <v>0.61500836972167583</v>
      </c>
      <c r="K21" s="33" t="s">
        <v>194</v>
      </c>
      <c r="L21" s="33">
        <v>0.90545751368075678</v>
      </c>
      <c r="M21" s="33" t="s">
        <v>216</v>
      </c>
    </row>
    <row r="22" spans="1:13" ht="72.5" x14ac:dyDescent="0.35">
      <c r="A22" s="32">
        <v>201183</v>
      </c>
      <c r="B22" s="33" t="s">
        <v>215</v>
      </c>
      <c r="C22" s="33">
        <v>0.93553955697702129</v>
      </c>
      <c r="D22" s="33">
        <v>0.11184256792131042</v>
      </c>
      <c r="E22" s="33"/>
      <c r="F22" s="33">
        <v>233</v>
      </c>
      <c r="G22" s="33">
        <v>478</v>
      </c>
      <c r="H22" s="33"/>
      <c r="I22" s="33">
        <v>0.59418397471836037</v>
      </c>
      <c r="J22" s="33">
        <v>0.58295397471836041</v>
      </c>
      <c r="K22" s="33" t="s">
        <v>194</v>
      </c>
      <c r="L22" s="33">
        <v>0.64069232524241515</v>
      </c>
      <c r="M22" s="33" t="s">
        <v>216</v>
      </c>
    </row>
    <row r="23" spans="1:13" ht="58" x14ac:dyDescent="0.35">
      <c r="A23" s="32">
        <v>201185</v>
      </c>
      <c r="B23" s="33" t="s">
        <v>217</v>
      </c>
      <c r="C23" s="33">
        <v>0.69181196577153448</v>
      </c>
      <c r="D23" s="33">
        <v>0.59046835188710989</v>
      </c>
      <c r="E23" s="33"/>
      <c r="F23" s="33">
        <v>201</v>
      </c>
      <c r="G23" s="33">
        <v>446</v>
      </c>
      <c r="H23" s="33"/>
      <c r="I23" s="33">
        <v>9.0151271309202197E-2</v>
      </c>
      <c r="J23" s="33">
        <v>7.8921271309202193E-2</v>
      </c>
      <c r="K23" s="33" t="s">
        <v>194</v>
      </c>
      <c r="L23" s="33">
        <v>0.88299336119112726</v>
      </c>
      <c r="M23" s="33" t="s">
        <v>207</v>
      </c>
    </row>
    <row r="24" spans="1:13" ht="58" x14ac:dyDescent="0.35">
      <c r="A24" s="32">
        <v>201187</v>
      </c>
      <c r="B24" s="33" t="s">
        <v>217</v>
      </c>
      <c r="C24" s="33">
        <v>0.16476524238542356</v>
      </c>
      <c r="D24" s="33">
        <v>0.63663059591370297</v>
      </c>
      <c r="E24" s="33"/>
      <c r="F24" s="33">
        <v>342</v>
      </c>
      <c r="G24" s="33">
        <v>418</v>
      </c>
      <c r="H24" s="33"/>
      <c r="I24" s="33">
        <v>0.77738549906441201</v>
      </c>
      <c r="J24" s="33">
        <v>0.76615549906441205</v>
      </c>
      <c r="K24" s="33" t="s">
        <v>194</v>
      </c>
      <c r="L24" s="33">
        <v>0.40259500405740056</v>
      </c>
      <c r="M24" s="33" t="s">
        <v>207</v>
      </c>
    </row>
    <row r="25" spans="1:13" ht="58" x14ac:dyDescent="0.35">
      <c r="A25" s="32">
        <v>108009</v>
      </c>
      <c r="B25" s="33" t="s">
        <v>218</v>
      </c>
      <c r="C25" s="33">
        <v>0.14353399999999999</v>
      </c>
      <c r="D25" s="33">
        <v>0.13353499999999999</v>
      </c>
      <c r="E25" s="33"/>
      <c r="F25" s="33">
        <v>213</v>
      </c>
      <c r="G25" s="33">
        <v>404</v>
      </c>
      <c r="H25" s="33"/>
      <c r="I25" s="33">
        <v>0.1806251504473495</v>
      </c>
      <c r="J25" s="33">
        <v>0.16939515044734951</v>
      </c>
      <c r="K25" s="33" t="s">
        <v>194</v>
      </c>
      <c r="L25" s="33">
        <v>0.68249427721429479</v>
      </c>
      <c r="M25" s="33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FEB5-669A-48B6-9322-56CFFE969799}">
  <dimension ref="B1:N28"/>
  <sheetViews>
    <sheetView workbookViewId="0">
      <selection activeCell="J4" sqref="J4"/>
    </sheetView>
  </sheetViews>
  <sheetFormatPr defaultRowHeight="14.5" x14ac:dyDescent="0.35"/>
  <cols>
    <col min="2" max="2" width="11.6328125" bestFit="1" customWidth="1"/>
    <col min="3" max="3" width="13.54296875" bestFit="1" customWidth="1"/>
    <col min="4" max="4" width="10.90625" bestFit="1" customWidth="1"/>
    <col min="5" max="5" width="10.453125" bestFit="1" customWidth="1"/>
    <col min="6" max="6" width="10.08984375" bestFit="1" customWidth="1"/>
    <col min="7" max="7" width="22.54296875" bestFit="1" customWidth="1"/>
    <col min="8" max="8" width="15.26953125" customWidth="1"/>
  </cols>
  <sheetData>
    <row r="1" spans="2:14" x14ac:dyDescent="0.35">
      <c r="L1" t="s">
        <v>250</v>
      </c>
    </row>
    <row r="2" spans="2:14" x14ac:dyDescent="0.35">
      <c r="B2" s="48" t="s">
        <v>58</v>
      </c>
      <c r="C2" s="48" t="s">
        <v>230</v>
      </c>
      <c r="D2" s="48" t="s">
        <v>226</v>
      </c>
      <c r="E2" s="48" t="s">
        <v>227</v>
      </c>
      <c r="F2" s="48" t="s">
        <v>228</v>
      </c>
      <c r="G2" s="48" t="s">
        <v>242</v>
      </c>
      <c r="K2" t="s">
        <v>243</v>
      </c>
      <c r="L2" t="s">
        <v>244</v>
      </c>
      <c r="M2" t="s">
        <v>245</v>
      </c>
      <c r="N2" t="s">
        <v>246</v>
      </c>
    </row>
    <row r="3" spans="2:14" x14ac:dyDescent="0.35">
      <c r="B3" s="44" t="s">
        <v>2</v>
      </c>
      <c r="C3" s="44">
        <v>16</v>
      </c>
      <c r="D3" s="44">
        <v>3.42</v>
      </c>
      <c r="E3" s="44">
        <v>3.55</v>
      </c>
      <c r="F3" s="44">
        <v>3.33</v>
      </c>
      <c r="G3" s="44">
        <v>3.87</v>
      </c>
      <c r="J3" t="s">
        <v>247</v>
      </c>
      <c r="K3" s="43">
        <v>0.89</v>
      </c>
      <c r="L3" s="43">
        <v>0.87</v>
      </c>
      <c r="M3" s="43">
        <v>0.85</v>
      </c>
      <c r="N3" s="43">
        <v>0.81</v>
      </c>
    </row>
    <row r="4" spans="2:14" x14ac:dyDescent="0.35">
      <c r="B4" s="44" t="s">
        <v>7</v>
      </c>
      <c r="C4" s="44">
        <v>12</v>
      </c>
      <c r="D4" s="44">
        <v>4.21</v>
      </c>
      <c r="E4" s="44">
        <v>4.4400000000000004</v>
      </c>
      <c r="F4" s="44">
        <v>4.4000000000000004</v>
      </c>
      <c r="G4" s="44">
        <v>4.5599999999999996</v>
      </c>
      <c r="J4" t="s">
        <v>248</v>
      </c>
      <c r="K4" s="43">
        <v>0.87</v>
      </c>
      <c r="L4" s="43">
        <v>0.85</v>
      </c>
      <c r="M4" s="43">
        <v>0.83</v>
      </c>
      <c r="N4" s="43">
        <v>0.79</v>
      </c>
    </row>
    <row r="5" spans="2:14" x14ac:dyDescent="0.35">
      <c r="B5" s="44" t="s">
        <v>5</v>
      </c>
      <c r="C5" s="44">
        <v>18</v>
      </c>
      <c r="D5" s="44">
        <v>3.57</v>
      </c>
      <c r="E5" s="44">
        <v>3.78</v>
      </c>
      <c r="F5" s="44">
        <v>3.67</v>
      </c>
      <c r="G5" s="44">
        <v>4.5</v>
      </c>
      <c r="J5" t="s">
        <v>249</v>
      </c>
      <c r="K5" s="43">
        <v>0.85</v>
      </c>
      <c r="L5" s="43">
        <v>0.83</v>
      </c>
      <c r="M5" s="43">
        <v>0.81</v>
      </c>
      <c r="N5" s="43">
        <v>0.78</v>
      </c>
    </row>
    <row r="6" spans="2:14" x14ac:dyDescent="0.35">
      <c r="B6" s="44" t="s">
        <v>0</v>
      </c>
      <c r="C6" s="44">
        <v>17</v>
      </c>
      <c r="D6" s="44">
        <v>4</v>
      </c>
      <c r="E6" s="44">
        <v>4.13</v>
      </c>
      <c r="F6" s="44">
        <v>4.01</v>
      </c>
      <c r="G6" s="44">
        <v>4.34</v>
      </c>
    </row>
    <row r="7" spans="2:14" x14ac:dyDescent="0.35">
      <c r="B7" s="44" t="s">
        <v>4</v>
      </c>
      <c r="C7" s="44">
        <v>9</v>
      </c>
      <c r="D7" s="44">
        <v>2.97</v>
      </c>
      <c r="E7" s="44">
        <v>3.01</v>
      </c>
      <c r="F7" s="44">
        <v>2.54</v>
      </c>
      <c r="G7" s="44">
        <v>3.33</v>
      </c>
    </row>
    <row r="8" spans="2:14" x14ac:dyDescent="0.35">
      <c r="B8" s="44" t="s">
        <v>8</v>
      </c>
      <c r="C8" s="44">
        <v>10</v>
      </c>
      <c r="D8" s="44">
        <v>3</v>
      </c>
      <c r="E8" s="44">
        <v>3.75</v>
      </c>
      <c r="F8" s="44">
        <v>3.5</v>
      </c>
      <c r="G8" s="44">
        <v>4</v>
      </c>
    </row>
    <row r="9" spans="2:14" x14ac:dyDescent="0.35">
      <c r="B9" s="44" t="s">
        <v>231</v>
      </c>
      <c r="C9" s="44">
        <v>3</v>
      </c>
      <c r="D9" s="44">
        <v>4.2</v>
      </c>
      <c r="E9" s="44">
        <v>4.5</v>
      </c>
      <c r="F9" s="44">
        <v>4.0999999999999996</v>
      </c>
      <c r="G9" s="44">
        <v>4.8</v>
      </c>
    </row>
    <row r="12" spans="2:14" ht="29" x14ac:dyDescent="0.35">
      <c r="B12" s="48" t="s">
        <v>2</v>
      </c>
      <c r="C12" s="48" t="s">
        <v>59</v>
      </c>
      <c r="D12" s="48" t="s">
        <v>226</v>
      </c>
      <c r="E12" s="48" t="s">
        <v>227</v>
      </c>
      <c r="F12" s="48" t="s">
        <v>228</v>
      </c>
      <c r="G12" s="48" t="s">
        <v>229</v>
      </c>
      <c r="H12" s="50" t="s">
        <v>241</v>
      </c>
    </row>
    <row r="13" spans="2:14" x14ac:dyDescent="0.35">
      <c r="B13" s="44" t="s">
        <v>232</v>
      </c>
      <c r="C13" s="44">
        <v>3</v>
      </c>
      <c r="D13" s="46">
        <v>0.78</v>
      </c>
      <c r="E13" s="46">
        <v>0.81</v>
      </c>
      <c r="F13" s="46">
        <v>0.75</v>
      </c>
      <c r="G13" s="47">
        <v>0.84499999999999997</v>
      </c>
      <c r="H13" s="49">
        <v>250</v>
      </c>
    </row>
    <row r="14" spans="2:14" x14ac:dyDescent="0.35">
      <c r="B14" s="44" t="s">
        <v>233</v>
      </c>
      <c r="C14" s="44">
        <v>1</v>
      </c>
      <c r="D14" s="46">
        <v>0.56000000000000005</v>
      </c>
      <c r="E14" s="46">
        <v>0.71</v>
      </c>
      <c r="F14" s="46">
        <v>0.57999999999999996</v>
      </c>
      <c r="G14" s="47">
        <v>0.78200000000000003</v>
      </c>
      <c r="H14" s="49">
        <v>11</v>
      </c>
    </row>
    <row r="15" spans="2:14" x14ac:dyDescent="0.35">
      <c r="B15" s="44" t="s">
        <v>234</v>
      </c>
      <c r="C15" s="44">
        <v>3</v>
      </c>
      <c r="D15" s="46">
        <v>0.66</v>
      </c>
      <c r="E15" s="46">
        <v>0.81</v>
      </c>
      <c r="F15" s="47">
        <v>0.623</v>
      </c>
      <c r="G15" s="47">
        <v>0.86699999999999999</v>
      </c>
      <c r="H15" s="49">
        <v>45</v>
      </c>
    </row>
    <row r="16" spans="2:14" x14ac:dyDescent="0.35">
      <c r="B16" s="44" t="s">
        <v>235</v>
      </c>
      <c r="C16" s="44">
        <v>2</v>
      </c>
      <c r="D16" s="46">
        <v>0.67</v>
      </c>
      <c r="E16" s="46">
        <v>0.79</v>
      </c>
      <c r="F16" s="46">
        <v>0.69</v>
      </c>
      <c r="G16" s="46">
        <v>0.87</v>
      </c>
      <c r="H16" s="49">
        <v>76</v>
      </c>
    </row>
    <row r="17" spans="2:8" x14ac:dyDescent="0.35">
      <c r="B17" s="44" t="s">
        <v>236</v>
      </c>
      <c r="C17" s="44">
        <v>1</v>
      </c>
      <c r="D17" s="47">
        <v>0.56200000000000006</v>
      </c>
      <c r="E17" s="46">
        <v>0.68</v>
      </c>
      <c r="F17" s="46">
        <v>0.57999999999999996</v>
      </c>
      <c r="G17" s="46">
        <v>0.78</v>
      </c>
      <c r="H17" s="49">
        <v>123</v>
      </c>
    </row>
    <row r="18" spans="2:8" x14ac:dyDescent="0.35">
      <c r="B18" s="44" t="s">
        <v>237</v>
      </c>
      <c r="C18" s="44">
        <v>1</v>
      </c>
      <c r="D18" s="46">
        <v>0.61</v>
      </c>
      <c r="E18" s="47">
        <v>0.67400000000000004</v>
      </c>
      <c r="F18" s="46">
        <v>0.52</v>
      </c>
      <c r="G18" s="46">
        <v>0.76</v>
      </c>
      <c r="H18" s="49">
        <v>67</v>
      </c>
    </row>
    <row r="20" spans="2:8" x14ac:dyDescent="0.35">
      <c r="B20" s="45" t="s">
        <v>238</v>
      </c>
    </row>
    <row r="22" spans="2:8" x14ac:dyDescent="0.35">
      <c r="B22" s="45" t="s">
        <v>0</v>
      </c>
    </row>
    <row r="24" spans="2:8" x14ac:dyDescent="0.35">
      <c r="B24" s="45" t="s">
        <v>4</v>
      </c>
    </row>
    <row r="26" spans="2:8" x14ac:dyDescent="0.35">
      <c r="B26" s="45" t="s">
        <v>239</v>
      </c>
    </row>
    <row r="28" spans="2:8" x14ac:dyDescent="0.35">
      <c r="B28" s="45" t="s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054B-E989-400E-B867-832759504183}">
  <sheetPr>
    <tabColor rgb="FF92D050"/>
  </sheetPr>
  <dimension ref="A1:P65"/>
  <sheetViews>
    <sheetView showGridLines="0" tabSelected="1" zoomScaleNormal="100" workbookViewId="0">
      <pane xSplit="8" ySplit="11" topLeftCell="I54" activePane="bottomRight" state="frozen"/>
      <selection pane="topRight" activeCell="I1" sqref="I1"/>
      <selection pane="bottomLeft" activeCell="A11" sqref="A11"/>
      <selection pane="bottomRight" activeCell="J2" sqref="J2"/>
    </sheetView>
  </sheetViews>
  <sheetFormatPr defaultRowHeight="13" x14ac:dyDescent="0.3"/>
  <cols>
    <col min="1" max="4" width="8.7265625" style="1" hidden="1" customWidth="1"/>
    <col min="5" max="5" width="8.7265625" style="1"/>
    <col min="6" max="6" width="34.81640625" style="1" customWidth="1"/>
    <col min="7" max="7" width="8.7265625" style="1"/>
    <col min="8" max="8" width="11.6328125" style="1" bestFit="1" customWidth="1"/>
    <col min="9" max="9" width="9.7265625" style="1" customWidth="1"/>
    <col min="10" max="12" width="8.7265625" style="1"/>
    <col min="13" max="13" width="15.1796875" style="1" bestFit="1" customWidth="1"/>
    <col min="14" max="14" width="13.36328125" style="1" bestFit="1" customWidth="1"/>
    <col min="15" max="15" width="16.08984375" style="1" bestFit="1" customWidth="1"/>
    <col min="16" max="16" width="10.08984375" style="1" bestFit="1" customWidth="1"/>
    <col min="17" max="16384" width="8.7265625" style="1"/>
  </cols>
  <sheetData>
    <row r="1" spans="5:16" x14ac:dyDescent="0.3">
      <c r="E1" s="9">
        <v>1625000</v>
      </c>
      <c r="I1" s="1" t="s">
        <v>152</v>
      </c>
      <c r="J1" s="1" t="s">
        <v>225</v>
      </c>
      <c r="L1" s="56" t="s">
        <v>157</v>
      </c>
      <c r="M1" s="56"/>
      <c r="N1" s="56"/>
      <c r="O1" s="56"/>
      <c r="P1" s="56"/>
    </row>
    <row r="2" spans="5:16" x14ac:dyDescent="0.3">
      <c r="F2" s="55" t="s">
        <v>151</v>
      </c>
      <c r="G2" s="55"/>
      <c r="I2" s="22" t="s">
        <v>123</v>
      </c>
      <c r="J2" s="22"/>
      <c r="L2" s="7" t="s">
        <v>154</v>
      </c>
      <c r="M2" s="7" t="s">
        <v>155</v>
      </c>
      <c r="N2" s="7" t="s">
        <v>156</v>
      </c>
      <c r="O2" s="7" t="s">
        <v>167</v>
      </c>
      <c r="P2" s="7" t="s">
        <v>153</v>
      </c>
    </row>
    <row r="3" spans="5:16" x14ac:dyDescent="0.3">
      <c r="F3" s="55"/>
      <c r="G3" s="55"/>
      <c r="I3" s="23" t="s">
        <v>133</v>
      </c>
      <c r="J3" s="23"/>
      <c r="L3" s="7">
        <v>1000</v>
      </c>
      <c r="M3" s="26">
        <f>J4*L3*12</f>
        <v>0</v>
      </c>
      <c r="N3" s="7">
        <f>IF(J5&lt;=3.5,0,5/100)</f>
        <v>0</v>
      </c>
      <c r="O3" s="26">
        <f>M3+(M3*N3)</f>
        <v>0</v>
      </c>
      <c r="P3" s="25">
        <f>O3-M3</f>
        <v>0</v>
      </c>
    </row>
    <row r="4" spans="5:16" x14ac:dyDescent="0.3">
      <c r="H4" s="12" t="s">
        <v>149</v>
      </c>
      <c r="I4" s="15">
        <v>50000</v>
      </c>
      <c r="J4" s="15"/>
      <c r="L4" s="56" t="s">
        <v>158</v>
      </c>
      <c r="M4" s="56"/>
      <c r="N4" s="56"/>
      <c r="O4" s="56"/>
      <c r="P4" s="56"/>
    </row>
    <row r="5" spans="5:16" x14ac:dyDescent="0.3">
      <c r="E5" s="3"/>
      <c r="F5" s="3"/>
      <c r="G5" s="3"/>
      <c r="H5" s="4" t="s">
        <v>134</v>
      </c>
      <c r="I5" s="16">
        <f>IFERROR(IF(ROUND(I$6,6)&gt;=4.75, 5, IF(ROUND(I$6,6)&gt;=4.25, 4.5, IF(ROUND(I$6,6)&gt;=3.75, 4, IF(ROUND(I$6,6)&gt;=3.25, 3.5, IF(ROUND(I$6,6)&gt;=2.75, 3, IF(ROUND(I$6,6)&gt;=2.25, 2.5,IF(ROUND(I$6,6)&gt;=1.75, 2, 1.5))))))), "NR")</f>
        <v>3.5</v>
      </c>
      <c r="J5" s="16"/>
      <c r="L5" s="57" t="s">
        <v>159</v>
      </c>
      <c r="M5" s="57"/>
      <c r="N5" s="27">
        <f>L3</f>
        <v>1000</v>
      </c>
      <c r="O5" s="57" t="s">
        <v>166</v>
      </c>
      <c r="P5" s="57"/>
    </row>
    <row r="6" spans="5:16" ht="21" x14ac:dyDescent="0.5">
      <c r="E6" s="3"/>
      <c r="F6" s="3"/>
      <c r="G6" s="3"/>
      <c r="H6" s="4" t="s">
        <v>135</v>
      </c>
      <c r="I6" s="17">
        <f>I$7+I$8</f>
        <v>3.6989702857142857</v>
      </c>
      <c r="J6" s="17"/>
      <c r="L6" s="57" t="s">
        <v>160</v>
      </c>
      <c r="M6" s="57"/>
      <c r="N6" s="27">
        <f>IF(J5=3.5,1050,1100)</f>
        <v>1100</v>
      </c>
      <c r="O6" s="59">
        <f>IF(J5&gt;=4,P3+N12,0)</f>
        <v>0</v>
      </c>
      <c r="P6" s="59"/>
    </row>
    <row r="7" spans="5:16" x14ac:dyDescent="0.3">
      <c r="E7" s="3"/>
      <c r="F7" s="3"/>
      <c r="G7" s="3"/>
      <c r="H7" s="4" t="s">
        <v>148</v>
      </c>
      <c r="I7" s="18">
        <f>'HEI Calculation'!$I$2</f>
        <v>0.16000000000000003</v>
      </c>
      <c r="J7" s="18"/>
      <c r="L7" s="57" t="s">
        <v>161</v>
      </c>
      <c r="M7" s="57"/>
      <c r="N7" s="27">
        <f>J4*N6</f>
        <v>0</v>
      </c>
    </row>
    <row r="8" spans="5:16" x14ac:dyDescent="0.3">
      <c r="E8" s="3"/>
      <c r="F8" s="3"/>
      <c r="G8" s="3"/>
      <c r="H8" s="4" t="s">
        <v>136</v>
      </c>
      <c r="I8" s="17">
        <f>IF(AND(I$11&gt;3.75,I$11&gt;I$10),I$11,I$10) + I$9</f>
        <v>3.5389702857142855</v>
      </c>
      <c r="J8" s="17"/>
      <c r="L8" s="57" t="s">
        <v>162</v>
      </c>
      <c r="M8" s="57"/>
      <c r="N8" s="28">
        <f>N6-N5</f>
        <v>100</v>
      </c>
    </row>
    <row r="9" spans="5:16" x14ac:dyDescent="0.3">
      <c r="E9" s="3"/>
      <c r="F9" s="3"/>
      <c r="G9" s="3"/>
      <c r="H9" s="4" t="s">
        <v>137</v>
      </c>
      <c r="I9" s="18">
        <v>3.2560000000000002E-3</v>
      </c>
      <c r="J9" s="18"/>
      <c r="L9" s="57" t="s">
        <v>163</v>
      </c>
      <c r="M9" s="57"/>
      <c r="N9" s="2">
        <f>IF(J5&lt;&gt;4,65/100,70/100)</f>
        <v>0.65</v>
      </c>
    </row>
    <row r="10" spans="5:16" x14ac:dyDescent="0.3">
      <c r="E10" s="3"/>
      <c r="F10" s="3"/>
      <c r="G10" s="3"/>
      <c r="H10" s="4" t="s">
        <v>138</v>
      </c>
      <c r="I10" s="17" cm="1">
        <f t="array" ref="I10">IFERROR(SUMPRODUCT((I$21:I$65&lt;&gt;"NR")*($G$21:$G$65), (I$21:I$65))/SUMIFS($G$21:$G$65, I$21:I$65, "&lt;&gt;NR"), "NR")</f>
        <v>3.5357142857142856</v>
      </c>
      <c r="J10" s="17"/>
      <c r="L10" s="57" t="s">
        <v>165</v>
      </c>
      <c r="M10" s="57"/>
      <c r="N10" s="29">
        <f>N9*N8</f>
        <v>65</v>
      </c>
    </row>
    <row r="11" spans="5:16" ht="13.5" thickBot="1" x14ac:dyDescent="0.35">
      <c r="E11" s="3"/>
      <c r="F11" s="3"/>
      <c r="G11" s="3"/>
      <c r="H11" s="4" t="s">
        <v>139</v>
      </c>
      <c r="I11" s="17" cm="1">
        <f t="array" ref="I11">IFERROR(SUMPRODUCT(($A$21:$A$65="N")*(I$21:I$65&lt;&gt;"NR")*($G$21:$G$65), (I$21:I$65))/SUMIFS($G$21:$G$65, $A$21:$A$65, "N", I$21:I$65, "&lt;&gt;NR"), "NR")</f>
        <v>3.6081081081081079</v>
      </c>
      <c r="J11" s="17"/>
      <c r="L11" s="58" t="s">
        <v>164</v>
      </c>
      <c r="M11" s="58"/>
      <c r="N11" s="41">
        <f>IF(J4&lt;&gt;4,N10*I4,N10*J4)</f>
        <v>3250000</v>
      </c>
    </row>
    <row r="12" spans="5:16" ht="13.5" thickBot="1" x14ac:dyDescent="0.35">
      <c r="E12" s="3"/>
      <c r="F12" s="3"/>
      <c r="G12" s="3"/>
      <c r="H12" s="4" t="s">
        <v>140</v>
      </c>
      <c r="I12" s="17" cm="1">
        <f t="array" ref="I12">IFERROR(SUMPRODUCT(($B$21:$B$65="C")*(I$21:I$65&lt;&gt;"NR")*($G$21:$G$65), (I$21:I$65))/SUMIFS($G$21:$G$65, $B$21:$B$65, "C", I$21:I$65, "&lt;&gt;NR"), "NR")</f>
        <v>3.7857142857142856</v>
      </c>
      <c r="J12" s="17"/>
      <c r="L12" s="53" t="s">
        <v>153</v>
      </c>
      <c r="M12" s="54"/>
      <c r="N12" s="42">
        <f>N11-E1</f>
        <v>1625000</v>
      </c>
    </row>
    <row r="13" spans="5:16" x14ac:dyDescent="0.3">
      <c r="E13" s="3"/>
      <c r="F13" s="3"/>
      <c r="G13" s="3"/>
      <c r="H13" s="4" t="s">
        <v>141</v>
      </c>
      <c r="I13" s="17" cm="1">
        <f t="array" ref="I13">IFERROR(SUMPRODUCT(($B$21:$B$65="D")*(I$21:I$65&lt;&gt;"NR")*($G$21:$G$65), (I$21:I$65))/SUMIFS($G$21:$G$65, $B$21:$B$65, "D", I$21:I$65, "&lt;&gt;NR"), "NR")</f>
        <v>3.0357142857142856</v>
      </c>
      <c r="J13" s="17"/>
      <c r="N13" s="40"/>
    </row>
    <row r="14" spans="5:16" x14ac:dyDescent="0.3">
      <c r="E14" s="3"/>
      <c r="F14" s="3"/>
      <c r="G14" s="3"/>
      <c r="H14" s="4" t="s">
        <v>2</v>
      </c>
      <c r="I14" s="19" cm="1">
        <f t="array" ref="I14">IFERROR(SUMPRODUCT(($H$30:$H$41=$H14)*($C$30:$C$41="N")*(I$30:I$41&lt;&gt;"NR")*($G$30:$G$41), (I$30:I$41))/SUMIFS($G$30:$G$41, $H$30:$H$41, $H14, I$30:I$41, "&lt;&gt;NR"), "NR")</f>
        <v>3.7333333333333334</v>
      </c>
      <c r="J14" s="19"/>
    </row>
    <row r="15" spans="5:16" x14ac:dyDescent="0.3">
      <c r="E15" s="3"/>
      <c r="F15" s="3"/>
      <c r="G15" s="3"/>
      <c r="H15" s="4" t="s">
        <v>7</v>
      </c>
      <c r="I15" s="19" cm="1">
        <f t="array" ref="I15">IFERROR(SUMPRODUCT(($H$57:$H$62=$H15)*($C$57:$C$62="N")*(I$57:I$62&lt;&gt;"NR")*($G$57:$G$62), (I$57:I$62))/SUMIFS($G$57:$G$62, $H$57:$H$62, $H15, I$57:I$62, "&lt;&gt;NR"), "NR")</f>
        <v>3</v>
      </c>
      <c r="J15" s="19"/>
    </row>
    <row r="16" spans="5:16" ht="14.5" x14ac:dyDescent="0.35">
      <c r="E16" s="3"/>
      <c r="F16" s="3"/>
      <c r="G16" s="3"/>
      <c r="H16" s="4" t="s">
        <v>5</v>
      </c>
      <c r="I16" s="19" cm="1">
        <f t="array" ref="I16">IFERROR(SUMPRODUCT(($H$47:$H$56=$H16)*($C$47:$C$56="N")*(I$47:I$56&lt;&gt;"NR")*($G$47:$G$56), (I$47:I$56))/SUMIFS($G$47:$G$56, $H$47:$H$56, $H16, I$47:I$56, "&lt;&gt;NR", $C$47:$C$56, "N"), "NR")</f>
        <v>3.6428571428571428</v>
      </c>
      <c r="J16" s="19"/>
      <c r="M16"/>
    </row>
    <row r="17" spans="1:15" ht="14.5" x14ac:dyDescent="0.35">
      <c r="E17" s="3"/>
      <c r="F17" s="3"/>
      <c r="G17" s="3"/>
      <c r="H17" s="4" t="s">
        <v>0</v>
      </c>
      <c r="I17" s="19" cm="1">
        <f t="array" ref="I17">IFERROR(SUMPRODUCT(($H$21:$H$29=$H17)*($C$21:$C$29="N")*(I$21:I$29&lt;&gt;"NR")*($G$21:$G$29), (I$21:I$29))/SUMIFS($G$21:$G$29, $H$21:$H$29, $H17, I$21:I$29, "&lt;&gt;NR"), "NR")</f>
        <v>3.5294117647058822</v>
      </c>
      <c r="J17" s="19"/>
      <c r="L17" s="24"/>
      <c r="M17" s="43"/>
      <c r="N17" s="24"/>
    </row>
    <row r="18" spans="1:15" ht="14.5" x14ac:dyDescent="0.35">
      <c r="E18" s="3"/>
      <c r="F18" s="3"/>
      <c r="G18" s="3"/>
      <c r="H18" s="4" t="s">
        <v>4</v>
      </c>
      <c r="I18" s="19" cm="1">
        <f t="array" ref="I18">IFERROR(SUMPRODUCT(($H$42:$H$46=$H18)*($C$42:$C$46="N")*(I$42:I$46&lt;&gt;"NR")*($G$42:$G$46), (I$42:I$46))/SUMIFS($G$42:$G$46, $H$42:$H$46, $H18, I$42:I$46, "&lt;&gt;NR"), "NR")</f>
        <v>3.8888888888888888</v>
      </c>
      <c r="J18" s="19"/>
      <c r="M18"/>
    </row>
    <row r="19" spans="1:15" x14ac:dyDescent="0.3">
      <c r="E19" s="3"/>
      <c r="F19" s="3"/>
      <c r="G19" s="3"/>
      <c r="H19" s="4" t="s">
        <v>8</v>
      </c>
      <c r="I19" s="19">
        <f>AVERAGE(I$63:I$64)</f>
        <v>3</v>
      </c>
      <c r="J19" s="19"/>
      <c r="L19" s="24"/>
      <c r="M19" s="24"/>
      <c r="N19" s="24"/>
      <c r="O19" s="24"/>
    </row>
    <row r="20" spans="1:15" x14ac:dyDescent="0.3">
      <c r="A20" s="5" t="s">
        <v>124</v>
      </c>
      <c r="B20" s="5" t="s">
        <v>125</v>
      </c>
      <c r="C20" s="5" t="s">
        <v>126</v>
      </c>
      <c r="D20" s="13" t="s">
        <v>60</v>
      </c>
      <c r="E20" s="20" t="s">
        <v>131</v>
      </c>
      <c r="F20" s="20" t="s">
        <v>132</v>
      </c>
      <c r="G20" s="20" t="s">
        <v>59</v>
      </c>
      <c r="H20" s="20" t="s">
        <v>58</v>
      </c>
      <c r="I20" s="20" t="s">
        <v>150</v>
      </c>
      <c r="J20" s="20"/>
      <c r="O20" s="24">
        <v>0.05</v>
      </c>
    </row>
    <row r="21" spans="1:15" x14ac:dyDescent="0.3">
      <c r="A21" s="2" t="s">
        <v>130</v>
      </c>
      <c r="B21" s="2" t="s">
        <v>127</v>
      </c>
      <c r="C21" s="2" t="s">
        <v>130</v>
      </c>
      <c r="D21" s="14" t="s">
        <v>1</v>
      </c>
      <c r="E21" s="21">
        <v>999901</v>
      </c>
      <c r="F21" s="21" t="s">
        <v>10</v>
      </c>
      <c r="G21" s="21">
        <v>1</v>
      </c>
      <c r="H21" s="21" t="s">
        <v>0</v>
      </c>
      <c r="I21" s="18">
        <f>VLOOKUP(I$2&amp;$E21, 'Data for Analysis'!$A:$P,16,0)</f>
        <v>2</v>
      </c>
      <c r="J21" s="18"/>
    </row>
    <row r="22" spans="1:15" x14ac:dyDescent="0.3">
      <c r="A22" s="2" t="s">
        <v>130</v>
      </c>
      <c r="B22" s="2" t="s">
        <v>127</v>
      </c>
      <c r="C22" s="2" t="s">
        <v>130</v>
      </c>
      <c r="D22" s="14" t="s">
        <v>1</v>
      </c>
      <c r="E22" s="21">
        <v>999922</v>
      </c>
      <c r="F22" s="21" t="s">
        <v>11</v>
      </c>
      <c r="G22" s="21">
        <v>2</v>
      </c>
      <c r="H22" s="21" t="s">
        <v>0</v>
      </c>
      <c r="I22" s="18">
        <f>VLOOKUP(I$2&amp;$E22, 'Data for Analysis'!$A:$P,16,0)</f>
        <v>4</v>
      </c>
      <c r="J22" s="18"/>
    </row>
    <row r="23" spans="1:15" x14ac:dyDescent="0.3">
      <c r="A23" s="2" t="s">
        <v>130</v>
      </c>
      <c r="B23" s="2" t="s">
        <v>127</v>
      </c>
      <c r="C23" s="2" t="s">
        <v>130</v>
      </c>
      <c r="D23" s="14" t="s">
        <v>1</v>
      </c>
      <c r="E23" s="21">
        <v>999913</v>
      </c>
      <c r="F23" s="21" t="s">
        <v>12</v>
      </c>
      <c r="G23" s="21">
        <v>2</v>
      </c>
      <c r="H23" s="21" t="s">
        <v>0</v>
      </c>
      <c r="I23" s="18">
        <f>VLOOKUP(I$2&amp;$E23, 'Data for Analysis'!$A:$P,16,0)</f>
        <v>3</v>
      </c>
      <c r="J23" s="18"/>
    </row>
    <row r="24" spans="1:15" x14ac:dyDescent="0.3">
      <c r="A24" s="2" t="s">
        <v>130</v>
      </c>
      <c r="B24" s="2" t="s">
        <v>127</v>
      </c>
      <c r="C24" s="2" t="s">
        <v>130</v>
      </c>
      <c r="D24" s="14" t="s">
        <v>1</v>
      </c>
      <c r="E24" s="21">
        <v>999912</v>
      </c>
      <c r="F24" s="21" t="s">
        <v>13</v>
      </c>
      <c r="G24" s="21">
        <v>2</v>
      </c>
      <c r="H24" s="21" t="s">
        <v>0</v>
      </c>
      <c r="I24" s="18">
        <f>VLOOKUP(I$2&amp;$E24, 'Data for Analysis'!$A:$P,16,0)</f>
        <v>5</v>
      </c>
      <c r="J24" s="18"/>
    </row>
    <row r="25" spans="1:15" x14ac:dyDescent="0.3">
      <c r="A25" s="2" t="s">
        <v>130</v>
      </c>
      <c r="B25" s="2" t="s">
        <v>127</v>
      </c>
      <c r="C25" s="2" t="s">
        <v>130</v>
      </c>
      <c r="D25" s="14" t="s">
        <v>1</v>
      </c>
      <c r="E25" s="21">
        <v>999911</v>
      </c>
      <c r="F25" s="21" t="s">
        <v>14</v>
      </c>
      <c r="G25" s="21">
        <v>2</v>
      </c>
      <c r="H25" s="21" t="s">
        <v>0</v>
      </c>
      <c r="I25" s="18">
        <f>VLOOKUP(I$2&amp;$E25, 'Data for Analysis'!$A:$P,16,0)</f>
        <v>5</v>
      </c>
      <c r="J25" s="18"/>
    </row>
    <row r="26" spans="1:15" x14ac:dyDescent="0.3">
      <c r="A26" s="2" t="s">
        <v>130</v>
      </c>
      <c r="B26" s="2" t="s">
        <v>128</v>
      </c>
      <c r="C26" s="2" t="s">
        <v>130</v>
      </c>
      <c r="D26" s="14" t="s">
        <v>1</v>
      </c>
      <c r="E26" s="21">
        <v>999811</v>
      </c>
      <c r="F26" s="21" t="s">
        <v>15</v>
      </c>
      <c r="G26" s="21">
        <v>2</v>
      </c>
      <c r="H26" s="21" t="s">
        <v>0</v>
      </c>
      <c r="I26" s="18">
        <f>VLOOKUP(I$2&amp;$E26, 'Data for Analysis'!$A:$P,16,0)</f>
        <v>3</v>
      </c>
      <c r="J26" s="18"/>
    </row>
    <row r="27" spans="1:15" x14ac:dyDescent="0.3">
      <c r="A27" s="2" t="s">
        <v>130</v>
      </c>
      <c r="B27" s="2" t="s">
        <v>128</v>
      </c>
      <c r="C27" s="2" t="s">
        <v>130</v>
      </c>
      <c r="D27" s="14" t="s">
        <v>1</v>
      </c>
      <c r="E27" s="21">
        <v>999810</v>
      </c>
      <c r="F27" s="21" t="s">
        <v>16</v>
      </c>
      <c r="G27" s="21">
        <v>2</v>
      </c>
      <c r="H27" s="21" t="s">
        <v>0</v>
      </c>
      <c r="I27" s="18">
        <f>VLOOKUP(I$2&amp;$E27, 'Data for Analysis'!$A:$P,16,0)</f>
        <v>1</v>
      </c>
      <c r="J27" s="18"/>
    </row>
    <row r="28" spans="1:15" x14ac:dyDescent="0.3">
      <c r="A28" s="2" t="s">
        <v>130</v>
      </c>
      <c r="B28" s="2" t="s">
        <v>127</v>
      </c>
      <c r="C28" s="2" t="s">
        <v>130</v>
      </c>
      <c r="D28" s="14" t="s">
        <v>1</v>
      </c>
      <c r="E28" s="21">
        <v>999914</v>
      </c>
      <c r="F28" s="21" t="s">
        <v>17</v>
      </c>
      <c r="G28" s="21">
        <v>2</v>
      </c>
      <c r="H28" s="21" t="s">
        <v>0</v>
      </c>
      <c r="I28" s="18">
        <f>VLOOKUP(I$2&amp;$E28, 'Data for Analysis'!$A:$P,16,0)</f>
        <v>5</v>
      </c>
      <c r="J28" s="18"/>
    </row>
    <row r="29" spans="1:15" x14ac:dyDescent="0.3">
      <c r="A29" s="2" t="s">
        <v>130</v>
      </c>
      <c r="B29" s="2" t="s">
        <v>127</v>
      </c>
      <c r="C29" s="2" t="s">
        <v>130</v>
      </c>
      <c r="D29" s="14" t="s">
        <v>1</v>
      </c>
      <c r="E29" s="21">
        <v>999915</v>
      </c>
      <c r="F29" s="21" t="s">
        <v>18</v>
      </c>
      <c r="G29" s="21">
        <v>2</v>
      </c>
      <c r="H29" s="21" t="s">
        <v>0</v>
      </c>
      <c r="I29" s="18">
        <f>VLOOKUP(I$2&amp;$E29, 'Data for Analysis'!$A:$P,16,0)</f>
        <v>3</v>
      </c>
      <c r="J29" s="18"/>
    </row>
    <row r="30" spans="1:15" x14ac:dyDescent="0.3">
      <c r="A30" s="2" t="s">
        <v>130</v>
      </c>
      <c r="B30" s="2" t="s">
        <v>127</v>
      </c>
      <c r="C30" s="2" t="s">
        <v>130</v>
      </c>
      <c r="D30" s="14" t="s">
        <v>1</v>
      </c>
      <c r="E30" s="21">
        <v>909230</v>
      </c>
      <c r="F30" s="21" t="s">
        <v>19</v>
      </c>
      <c r="G30" s="21">
        <v>1</v>
      </c>
      <c r="H30" s="21" t="s">
        <v>2</v>
      </c>
      <c r="I30" s="18">
        <f>VLOOKUP(I$2&amp;$E30, 'Data for Analysis'!$A:$P,16,0)</f>
        <v>2</v>
      </c>
      <c r="J30" s="18"/>
    </row>
    <row r="31" spans="1:15" x14ac:dyDescent="0.3">
      <c r="A31" s="2" t="s">
        <v>130</v>
      </c>
      <c r="B31" s="2" t="s">
        <v>127</v>
      </c>
      <c r="C31" s="2" t="s">
        <v>130</v>
      </c>
      <c r="D31" s="14" t="s">
        <v>1</v>
      </c>
      <c r="E31" s="21">
        <v>107125</v>
      </c>
      <c r="F31" s="21" t="s">
        <v>20</v>
      </c>
      <c r="G31" s="21">
        <v>1</v>
      </c>
      <c r="H31" s="21" t="s">
        <v>2</v>
      </c>
      <c r="I31" s="18">
        <f>VLOOKUP(I$2&amp;$E31, 'Data for Analysis'!$A:$P,16,0)</f>
        <v>5</v>
      </c>
      <c r="J31" s="18"/>
    </row>
    <row r="32" spans="1:15" x14ac:dyDescent="0.3">
      <c r="A32" s="2" t="s">
        <v>130</v>
      </c>
      <c r="B32" s="2" t="s">
        <v>127</v>
      </c>
      <c r="C32" s="2" t="s">
        <v>130</v>
      </c>
      <c r="D32" s="14" t="s">
        <v>1</v>
      </c>
      <c r="E32" s="21">
        <v>107126</v>
      </c>
      <c r="F32" s="21" t="s">
        <v>21</v>
      </c>
      <c r="G32" s="21">
        <v>1</v>
      </c>
      <c r="H32" s="21" t="s">
        <v>2</v>
      </c>
      <c r="I32" s="18" t="str">
        <f>VLOOKUP(I$2&amp;$E32, 'Data for Analysis'!$A:$P,16,0)</f>
        <v>NR</v>
      </c>
      <c r="J32" s="18"/>
    </row>
    <row r="33" spans="1:10" x14ac:dyDescent="0.3">
      <c r="A33" s="2" t="s">
        <v>130</v>
      </c>
      <c r="B33" s="2" t="s">
        <v>127</v>
      </c>
      <c r="C33" s="2" t="s">
        <v>130</v>
      </c>
      <c r="D33" s="14" t="s">
        <v>1</v>
      </c>
      <c r="E33" s="21">
        <v>600452</v>
      </c>
      <c r="F33" s="21" t="s">
        <v>23</v>
      </c>
      <c r="G33" s="21">
        <v>1</v>
      </c>
      <c r="H33" s="21" t="s">
        <v>2</v>
      </c>
      <c r="I33" s="18">
        <f>VLOOKUP(I$2&amp;$E33, 'Data for Analysis'!$A:$P,16,0)</f>
        <v>4</v>
      </c>
      <c r="J33" s="18"/>
    </row>
    <row r="34" spans="1:10" x14ac:dyDescent="0.3">
      <c r="A34" s="2" t="s">
        <v>130</v>
      </c>
      <c r="B34" s="2" t="s">
        <v>127</v>
      </c>
      <c r="C34" s="2" t="s">
        <v>130</v>
      </c>
      <c r="D34" s="14" t="s">
        <v>1</v>
      </c>
      <c r="E34" s="21">
        <v>101803</v>
      </c>
      <c r="F34" s="21" t="s">
        <v>24</v>
      </c>
      <c r="G34" s="21">
        <v>3</v>
      </c>
      <c r="H34" s="21" t="s">
        <v>2</v>
      </c>
      <c r="I34" s="18">
        <f>VLOOKUP(I$2&amp;$E34, 'Data for Analysis'!$A:$P,16,0)</f>
        <v>4</v>
      </c>
      <c r="J34" s="18"/>
    </row>
    <row r="35" spans="1:10" x14ac:dyDescent="0.3">
      <c r="A35" s="2" t="s">
        <v>130</v>
      </c>
      <c r="B35" s="2" t="s">
        <v>127</v>
      </c>
      <c r="C35" s="2" t="s">
        <v>130</v>
      </c>
      <c r="D35" s="14" t="s">
        <v>1</v>
      </c>
      <c r="E35" s="21">
        <v>999998</v>
      </c>
      <c r="F35" s="21" t="s">
        <v>25</v>
      </c>
      <c r="G35" s="21">
        <v>3</v>
      </c>
      <c r="H35" s="21" t="s">
        <v>2</v>
      </c>
      <c r="I35" s="18">
        <f>VLOOKUP(I$2&amp;$E35, 'Data for Analysis'!$A:$P,16,0)</f>
        <v>4</v>
      </c>
      <c r="J35" s="18"/>
    </row>
    <row r="36" spans="1:10" x14ac:dyDescent="0.3">
      <c r="A36" s="2" t="s">
        <v>130</v>
      </c>
      <c r="B36" s="2" t="s">
        <v>127</v>
      </c>
      <c r="C36" s="2" t="s">
        <v>130</v>
      </c>
      <c r="D36" s="14" t="s">
        <v>1</v>
      </c>
      <c r="E36" s="21">
        <v>900793</v>
      </c>
      <c r="F36" s="21" t="s">
        <v>26</v>
      </c>
      <c r="G36" s="21">
        <v>1</v>
      </c>
      <c r="H36" s="21" t="s">
        <v>2</v>
      </c>
      <c r="I36" s="18">
        <f>VLOOKUP(I$2&amp;$E36, 'Data for Analysis'!$A:$P,16,0)</f>
        <v>4</v>
      </c>
      <c r="J36" s="18"/>
    </row>
    <row r="37" spans="1:10" x14ac:dyDescent="0.3">
      <c r="A37" s="2" t="s">
        <v>130</v>
      </c>
      <c r="B37" s="2" t="s">
        <v>127</v>
      </c>
      <c r="C37" s="2" t="s">
        <v>130</v>
      </c>
      <c r="D37" s="14" t="s">
        <v>1</v>
      </c>
      <c r="E37" s="21">
        <v>600484</v>
      </c>
      <c r="F37" s="21" t="s">
        <v>27</v>
      </c>
      <c r="G37" s="21">
        <v>1</v>
      </c>
      <c r="H37" s="21" t="s">
        <v>2</v>
      </c>
      <c r="I37" s="18">
        <f>VLOOKUP(I$2&amp;$E37, 'Data for Analysis'!$A:$P,16,0)</f>
        <v>5</v>
      </c>
      <c r="J37" s="18"/>
    </row>
    <row r="38" spans="1:10" x14ac:dyDescent="0.3">
      <c r="A38" s="2" t="s">
        <v>130</v>
      </c>
      <c r="B38" s="2" t="s">
        <v>127</v>
      </c>
      <c r="C38" s="2" t="s">
        <v>130</v>
      </c>
      <c r="D38" s="14" t="s">
        <v>1</v>
      </c>
      <c r="E38" s="21">
        <v>104201</v>
      </c>
      <c r="F38" s="21" t="s">
        <v>28</v>
      </c>
      <c r="G38" s="21">
        <v>1</v>
      </c>
      <c r="H38" s="21" t="s">
        <v>2</v>
      </c>
      <c r="I38" s="18">
        <f>VLOOKUP(I$2&amp;$E38, 'Data for Analysis'!$A:$P,16,0)</f>
        <v>2</v>
      </c>
      <c r="J38" s="18"/>
    </row>
    <row r="39" spans="1:10" x14ac:dyDescent="0.3">
      <c r="A39" s="2" t="s">
        <v>130</v>
      </c>
      <c r="B39" s="2" t="s">
        <v>127</v>
      </c>
      <c r="C39" s="2" t="s">
        <v>130</v>
      </c>
      <c r="D39" s="14" t="s">
        <v>1</v>
      </c>
      <c r="E39" s="21">
        <v>201507</v>
      </c>
      <c r="F39" s="21" t="s">
        <v>29</v>
      </c>
      <c r="G39" s="21">
        <v>1</v>
      </c>
      <c r="H39" s="21" t="s">
        <v>2</v>
      </c>
      <c r="I39" s="18">
        <f>VLOOKUP(I$2&amp;$E39, 'Data for Analysis'!$A:$P,16,0)</f>
        <v>4</v>
      </c>
      <c r="J39" s="18"/>
    </row>
    <row r="40" spans="1:10" x14ac:dyDescent="0.3">
      <c r="A40" s="2" t="s">
        <v>130</v>
      </c>
      <c r="B40" s="2" t="s">
        <v>127</v>
      </c>
      <c r="C40" s="2" t="s">
        <v>130</v>
      </c>
      <c r="D40" s="14" t="s">
        <v>1</v>
      </c>
      <c r="E40" s="21">
        <v>999600</v>
      </c>
      <c r="F40" s="21" t="s">
        <v>31</v>
      </c>
      <c r="G40" s="21">
        <v>1</v>
      </c>
      <c r="H40" s="21" t="s">
        <v>2</v>
      </c>
      <c r="I40" s="18">
        <f>VLOOKUP(I$2&amp;$E40, 'Data for Analysis'!$A:$P,16,0)</f>
        <v>4</v>
      </c>
      <c r="J40" s="18"/>
    </row>
    <row r="41" spans="1:10" x14ac:dyDescent="0.3">
      <c r="A41" s="2" t="s">
        <v>130</v>
      </c>
      <c r="B41" s="2" t="s">
        <v>127</v>
      </c>
      <c r="C41" s="2" t="s">
        <v>130</v>
      </c>
      <c r="D41" s="14" t="s">
        <v>1</v>
      </c>
      <c r="E41" s="21">
        <v>600094</v>
      </c>
      <c r="F41" s="21" t="s">
        <v>32</v>
      </c>
      <c r="G41" s="21">
        <v>1</v>
      </c>
      <c r="H41" s="21" t="s">
        <v>2</v>
      </c>
      <c r="I41" s="18">
        <f>VLOOKUP(I$2&amp;$E41, 'Data for Analysis'!$A:$P,16,0)</f>
        <v>2</v>
      </c>
      <c r="J41" s="18"/>
    </row>
    <row r="42" spans="1:10" x14ac:dyDescent="0.3">
      <c r="A42" s="2" t="s">
        <v>130</v>
      </c>
      <c r="B42" s="2" t="s">
        <v>127</v>
      </c>
      <c r="C42" s="2" t="s">
        <v>130</v>
      </c>
      <c r="D42" s="14" t="s">
        <v>1</v>
      </c>
      <c r="E42" s="21">
        <v>999909</v>
      </c>
      <c r="F42" s="21" t="s">
        <v>33</v>
      </c>
      <c r="G42" s="21">
        <v>1</v>
      </c>
      <c r="H42" s="21" t="s">
        <v>4</v>
      </c>
      <c r="I42" s="18">
        <f>VLOOKUP(I$2&amp;$E42, 'Data for Analysis'!$A:$P,16,0)</f>
        <v>3</v>
      </c>
      <c r="J42" s="18"/>
    </row>
    <row r="43" spans="1:10" x14ac:dyDescent="0.3">
      <c r="A43" s="2" t="s">
        <v>130</v>
      </c>
      <c r="B43" s="2" t="s">
        <v>127</v>
      </c>
      <c r="C43" s="2" t="s">
        <v>130</v>
      </c>
      <c r="D43" s="14" t="s">
        <v>1</v>
      </c>
      <c r="E43" s="21">
        <v>999905</v>
      </c>
      <c r="F43" s="21" t="s">
        <v>34</v>
      </c>
      <c r="G43" s="21">
        <v>1</v>
      </c>
      <c r="H43" s="21" t="s">
        <v>4</v>
      </c>
      <c r="I43" s="18">
        <f>VLOOKUP(I$2&amp;$E43, 'Data for Analysis'!$A:$P,16,0)</f>
        <v>3</v>
      </c>
      <c r="J43" s="18"/>
    </row>
    <row r="44" spans="1:10" x14ac:dyDescent="0.3">
      <c r="A44" s="2" t="s">
        <v>130</v>
      </c>
      <c r="B44" s="2" t="s">
        <v>127</v>
      </c>
      <c r="C44" s="2" t="s">
        <v>130</v>
      </c>
      <c r="D44" s="14" t="s">
        <v>1</v>
      </c>
      <c r="E44" s="21">
        <v>999910</v>
      </c>
      <c r="F44" s="21" t="s">
        <v>35</v>
      </c>
      <c r="G44" s="21">
        <v>1</v>
      </c>
      <c r="H44" s="21" t="s">
        <v>4</v>
      </c>
      <c r="I44" s="18">
        <f>VLOOKUP(I$2&amp;$E44, 'Data for Analysis'!$A:$P,16,0)</f>
        <v>5</v>
      </c>
      <c r="J44" s="18"/>
    </row>
    <row r="45" spans="1:10" x14ac:dyDescent="0.3">
      <c r="A45" s="2" t="s">
        <v>130</v>
      </c>
      <c r="B45" s="2" t="s">
        <v>127</v>
      </c>
      <c r="C45" s="2" t="s">
        <v>130</v>
      </c>
      <c r="D45" s="14" t="s">
        <v>1</v>
      </c>
      <c r="E45" s="21">
        <v>999903</v>
      </c>
      <c r="F45" s="21" t="s">
        <v>36</v>
      </c>
      <c r="G45" s="21">
        <v>3</v>
      </c>
      <c r="H45" s="21" t="s">
        <v>4</v>
      </c>
      <c r="I45" s="18">
        <f>VLOOKUP(I$2&amp;$E45, 'Data for Analysis'!$A:$P,16,0)</f>
        <v>4</v>
      </c>
      <c r="J45" s="18"/>
    </row>
    <row r="46" spans="1:10" x14ac:dyDescent="0.3">
      <c r="A46" s="2" t="s">
        <v>130</v>
      </c>
      <c r="B46" s="2" t="s">
        <v>127</v>
      </c>
      <c r="C46" s="2" t="s">
        <v>130</v>
      </c>
      <c r="D46" s="14" t="s">
        <v>1</v>
      </c>
      <c r="E46" s="21">
        <v>999904</v>
      </c>
      <c r="F46" s="21" t="s">
        <v>37</v>
      </c>
      <c r="G46" s="21">
        <v>3</v>
      </c>
      <c r="H46" s="21" t="s">
        <v>4</v>
      </c>
      <c r="I46" s="18">
        <f>VLOOKUP(I$2&amp;$E46, 'Data for Analysis'!$A:$P,16,0)</f>
        <v>4</v>
      </c>
      <c r="J46" s="18"/>
    </row>
    <row r="47" spans="1:10" x14ac:dyDescent="0.3">
      <c r="A47" s="2" t="s">
        <v>130</v>
      </c>
      <c r="B47" s="2" t="s">
        <v>128</v>
      </c>
      <c r="C47" s="2" t="s">
        <v>130</v>
      </c>
      <c r="D47" s="14" t="s">
        <v>1</v>
      </c>
      <c r="E47" s="21">
        <v>999802</v>
      </c>
      <c r="F47" s="21" t="s">
        <v>38</v>
      </c>
      <c r="G47" s="21">
        <v>2</v>
      </c>
      <c r="H47" s="21" t="s">
        <v>5</v>
      </c>
      <c r="I47" s="18">
        <f>VLOOKUP(I$2&amp;$E47, 'Data for Analysis'!$A:$P,16,0)</f>
        <v>4</v>
      </c>
      <c r="J47" s="18"/>
    </row>
    <row r="48" spans="1:10" x14ac:dyDescent="0.3">
      <c r="A48" s="2" t="s">
        <v>130</v>
      </c>
      <c r="B48" s="2" t="s">
        <v>127</v>
      </c>
      <c r="C48" s="2" t="s">
        <v>130</v>
      </c>
      <c r="D48" s="14" t="s">
        <v>1</v>
      </c>
      <c r="E48" s="21">
        <v>999921</v>
      </c>
      <c r="F48" s="21" t="s">
        <v>38</v>
      </c>
      <c r="G48" s="21">
        <v>2</v>
      </c>
      <c r="H48" s="21" t="s">
        <v>5</v>
      </c>
      <c r="I48" s="18">
        <f>VLOOKUP(I$2&amp;$E48, 'Data for Analysis'!$A:$P,16,0)</f>
        <v>5</v>
      </c>
      <c r="J48" s="18"/>
    </row>
    <row r="49" spans="1:10" x14ac:dyDescent="0.3">
      <c r="A49" s="2" t="s">
        <v>130</v>
      </c>
      <c r="B49" s="2" t="s">
        <v>128</v>
      </c>
      <c r="C49" s="2" t="s">
        <v>130</v>
      </c>
      <c r="D49" s="14" t="s">
        <v>6</v>
      </c>
      <c r="E49" s="21">
        <v>999806</v>
      </c>
      <c r="F49" s="21" t="s">
        <v>39</v>
      </c>
      <c r="G49" s="21">
        <v>2</v>
      </c>
      <c r="H49" s="21" t="s">
        <v>5</v>
      </c>
      <c r="I49" s="18">
        <f>VLOOKUP(I$2&amp;$E49, 'Data for Analysis'!$A:$P,16,0)</f>
        <v>4</v>
      </c>
      <c r="J49" s="18"/>
    </row>
    <row r="50" spans="1:10" x14ac:dyDescent="0.3">
      <c r="A50" s="2" t="s">
        <v>130</v>
      </c>
      <c r="B50" s="2" t="s">
        <v>127</v>
      </c>
      <c r="C50" s="2" t="s">
        <v>129</v>
      </c>
      <c r="D50" s="14" t="s">
        <v>6</v>
      </c>
      <c r="E50" s="21">
        <v>999916</v>
      </c>
      <c r="F50" s="21" t="s">
        <v>40</v>
      </c>
      <c r="G50" s="21">
        <v>2</v>
      </c>
      <c r="H50" s="21" t="s">
        <v>5</v>
      </c>
      <c r="I50" s="18">
        <f>VLOOKUP(I$2&amp;$E50, 'Data for Analysis'!$A:$P,16,0)</f>
        <v>4</v>
      </c>
      <c r="J50" s="18"/>
    </row>
    <row r="51" spans="1:10" x14ac:dyDescent="0.3">
      <c r="A51" s="2" t="s">
        <v>130</v>
      </c>
      <c r="B51" s="2" t="s">
        <v>128</v>
      </c>
      <c r="C51" s="2" t="s">
        <v>130</v>
      </c>
      <c r="D51" s="14" t="s">
        <v>6</v>
      </c>
      <c r="E51" s="21">
        <v>999808</v>
      </c>
      <c r="F51" s="21" t="s">
        <v>41</v>
      </c>
      <c r="G51" s="21">
        <v>2</v>
      </c>
      <c r="H51" s="21" t="s">
        <v>5</v>
      </c>
      <c r="I51" s="18">
        <f>VLOOKUP(I$2&amp;$E51, 'Data for Analysis'!$A:$P,16,0)</f>
        <v>3</v>
      </c>
      <c r="J51" s="18"/>
    </row>
    <row r="52" spans="1:10" x14ac:dyDescent="0.3">
      <c r="A52" s="2" t="s">
        <v>130</v>
      </c>
      <c r="B52" s="2" t="s">
        <v>127</v>
      </c>
      <c r="C52" s="2" t="s">
        <v>129</v>
      </c>
      <c r="D52" s="14" t="s">
        <v>6</v>
      </c>
      <c r="E52" s="21">
        <v>999918</v>
      </c>
      <c r="F52" s="21" t="s">
        <v>41</v>
      </c>
      <c r="G52" s="21">
        <v>2</v>
      </c>
      <c r="H52" s="21" t="s">
        <v>5</v>
      </c>
      <c r="I52" s="18">
        <f>VLOOKUP(I$2&amp;$E52, 'Data for Analysis'!$A:$P,16,0)</f>
        <v>3</v>
      </c>
      <c r="J52" s="18"/>
    </row>
    <row r="53" spans="1:10" x14ac:dyDescent="0.3">
      <c r="A53" s="2" t="s">
        <v>130</v>
      </c>
      <c r="B53" s="2" t="s">
        <v>128</v>
      </c>
      <c r="C53" s="2" t="s">
        <v>130</v>
      </c>
      <c r="D53" s="14" t="s">
        <v>1</v>
      </c>
      <c r="E53" s="21">
        <v>999814</v>
      </c>
      <c r="F53" s="21" t="s">
        <v>42</v>
      </c>
      <c r="G53" s="21">
        <v>1</v>
      </c>
      <c r="H53" s="21" t="s">
        <v>5</v>
      </c>
      <c r="I53" s="18">
        <v>4</v>
      </c>
      <c r="J53" s="18"/>
    </row>
    <row r="54" spans="1:10" x14ac:dyDescent="0.3">
      <c r="A54" s="2" t="s">
        <v>130</v>
      </c>
      <c r="B54" s="2" t="s">
        <v>127</v>
      </c>
      <c r="C54" s="2" t="s">
        <v>130</v>
      </c>
      <c r="D54" s="14" t="s">
        <v>1</v>
      </c>
      <c r="E54" s="21">
        <v>999919</v>
      </c>
      <c r="F54" s="21" t="s">
        <v>43</v>
      </c>
      <c r="G54" s="21">
        <v>2</v>
      </c>
      <c r="H54" s="21" t="s">
        <v>5</v>
      </c>
      <c r="I54" s="18">
        <f>VLOOKUP(I$2&amp;$E54, 'Data for Analysis'!$A:$P,16,0)</f>
        <v>3</v>
      </c>
      <c r="J54" s="18"/>
    </row>
    <row r="55" spans="1:10" x14ac:dyDescent="0.3">
      <c r="A55" s="2" t="s">
        <v>130</v>
      </c>
      <c r="B55" s="2" t="s">
        <v>127</v>
      </c>
      <c r="C55" s="2" t="s">
        <v>130</v>
      </c>
      <c r="D55" s="14" t="s">
        <v>1</v>
      </c>
      <c r="E55" s="21">
        <v>999920</v>
      </c>
      <c r="F55" s="21" t="s">
        <v>44</v>
      </c>
      <c r="G55" s="21">
        <v>2</v>
      </c>
      <c r="H55" s="21" t="s">
        <v>5</v>
      </c>
      <c r="I55" s="18">
        <f>VLOOKUP(I$2&amp;$E55, 'Data for Analysis'!$A:$P,16,0)</f>
        <v>3</v>
      </c>
      <c r="J55" s="18"/>
    </row>
    <row r="56" spans="1:10" x14ac:dyDescent="0.3">
      <c r="A56" s="2" t="s">
        <v>130</v>
      </c>
      <c r="B56" s="2" t="s">
        <v>127</v>
      </c>
      <c r="C56" s="2" t="s">
        <v>130</v>
      </c>
      <c r="D56" s="14" t="s">
        <v>1</v>
      </c>
      <c r="E56" s="21">
        <v>999925</v>
      </c>
      <c r="F56" s="21" t="s">
        <v>45</v>
      </c>
      <c r="G56" s="21">
        <v>1</v>
      </c>
      <c r="H56" s="21" t="s">
        <v>5</v>
      </c>
      <c r="I56" s="18">
        <v>3</v>
      </c>
      <c r="J56" s="18"/>
    </row>
    <row r="57" spans="1:10" x14ac:dyDescent="0.3">
      <c r="A57" s="2" t="s">
        <v>130</v>
      </c>
      <c r="B57" s="2" t="s">
        <v>128</v>
      </c>
      <c r="C57" s="2" t="s">
        <v>130</v>
      </c>
      <c r="D57" s="14" t="s">
        <v>1</v>
      </c>
      <c r="E57" s="21">
        <v>201180</v>
      </c>
      <c r="F57" s="21" t="s">
        <v>46</v>
      </c>
      <c r="G57" s="21">
        <v>3</v>
      </c>
      <c r="H57" s="21" t="s">
        <v>7</v>
      </c>
      <c r="I57" s="18">
        <v>3</v>
      </c>
      <c r="J57" s="18"/>
    </row>
    <row r="58" spans="1:10" x14ac:dyDescent="0.3">
      <c r="A58" s="2" t="s">
        <v>130</v>
      </c>
      <c r="B58" s="2" t="s">
        <v>128</v>
      </c>
      <c r="C58" s="2" t="s">
        <v>130</v>
      </c>
      <c r="D58" s="14" t="s">
        <v>1</v>
      </c>
      <c r="E58" s="21">
        <v>201182</v>
      </c>
      <c r="F58" s="21" t="s">
        <v>47</v>
      </c>
      <c r="G58" s="21">
        <v>3</v>
      </c>
      <c r="H58" s="21" t="s">
        <v>7</v>
      </c>
      <c r="I58" s="18">
        <f>VLOOKUP(I$2&amp;$E58, 'Data for Analysis'!$A:$P,16,0)</f>
        <v>3</v>
      </c>
      <c r="J58" s="18"/>
    </row>
    <row r="59" spans="1:10" x14ac:dyDescent="0.3">
      <c r="A59" s="2" t="s">
        <v>130</v>
      </c>
      <c r="B59" s="2" t="s">
        <v>128</v>
      </c>
      <c r="C59" s="2" t="s">
        <v>130</v>
      </c>
      <c r="D59" s="14" t="s">
        <v>1</v>
      </c>
      <c r="E59" s="21">
        <v>201181</v>
      </c>
      <c r="F59" s="21" t="s">
        <v>48</v>
      </c>
      <c r="G59" s="21">
        <v>3</v>
      </c>
      <c r="H59" s="21" t="s">
        <v>7</v>
      </c>
      <c r="I59" s="18">
        <f>VLOOKUP(I$2&amp;$E59, 'Data for Analysis'!$A:$P,16,0)</f>
        <v>3</v>
      </c>
      <c r="J59" s="18"/>
    </row>
    <row r="60" spans="1:10" x14ac:dyDescent="0.3">
      <c r="A60" s="2" t="s">
        <v>130</v>
      </c>
      <c r="B60" s="2" t="s">
        <v>128</v>
      </c>
      <c r="C60" s="2" t="s">
        <v>130</v>
      </c>
      <c r="D60" s="14" t="s">
        <v>1</v>
      </c>
      <c r="E60" s="21">
        <v>201183</v>
      </c>
      <c r="F60" s="21" t="s">
        <v>50</v>
      </c>
      <c r="G60" s="21">
        <v>1</v>
      </c>
      <c r="H60" s="21" t="s">
        <v>7</v>
      </c>
      <c r="I60" s="18">
        <f>VLOOKUP(I$2&amp;$E60, 'Data for Analysis'!$A:$P,16,0)</f>
        <v>2</v>
      </c>
      <c r="J60" s="18"/>
    </row>
    <row r="61" spans="1:10" x14ac:dyDescent="0.3">
      <c r="A61" s="2" t="s">
        <v>130</v>
      </c>
      <c r="B61" s="2" t="s">
        <v>128</v>
      </c>
      <c r="C61" s="2" t="s">
        <v>130</v>
      </c>
      <c r="D61" s="14" t="s">
        <v>6</v>
      </c>
      <c r="E61" s="21">
        <v>201187</v>
      </c>
      <c r="F61" s="21" t="s">
        <v>51</v>
      </c>
      <c r="G61" s="21">
        <v>1</v>
      </c>
      <c r="H61" s="21" t="s">
        <v>7</v>
      </c>
      <c r="I61" s="18">
        <f>VLOOKUP(I$2&amp;$E61, 'Data for Analysis'!$A:$P,16,0)</f>
        <v>4</v>
      </c>
      <c r="J61" s="18"/>
    </row>
    <row r="62" spans="1:10" x14ac:dyDescent="0.3">
      <c r="A62" s="2" t="s">
        <v>130</v>
      </c>
      <c r="B62" s="2" t="s">
        <v>128</v>
      </c>
      <c r="C62" s="2" t="s">
        <v>130</v>
      </c>
      <c r="D62" s="14" t="s">
        <v>6</v>
      </c>
      <c r="E62" s="21">
        <v>201185</v>
      </c>
      <c r="F62" s="21" t="s">
        <v>52</v>
      </c>
      <c r="G62" s="21">
        <v>1</v>
      </c>
      <c r="H62" s="21" t="s">
        <v>7</v>
      </c>
      <c r="I62" s="18">
        <f>VLOOKUP(I$2&amp;$E62, 'Data for Analysis'!$A:$P,16,0)</f>
        <v>3</v>
      </c>
      <c r="J62" s="18"/>
    </row>
    <row r="63" spans="1:10" x14ac:dyDescent="0.3">
      <c r="A63" s="2" t="s">
        <v>129</v>
      </c>
      <c r="B63" s="2" t="s">
        <v>128</v>
      </c>
      <c r="C63" s="2" t="s">
        <v>130</v>
      </c>
      <c r="D63" s="14" t="s">
        <v>1</v>
      </c>
      <c r="E63" s="21">
        <v>999813</v>
      </c>
      <c r="F63" s="21" t="s">
        <v>53</v>
      </c>
      <c r="G63" s="21">
        <v>5</v>
      </c>
      <c r="H63" s="21" t="s">
        <v>8</v>
      </c>
      <c r="I63" s="18">
        <f>VLOOKUP(I$2&amp;$E63, 'Data for Analysis'!$A:$P,16,0)</f>
        <v>3</v>
      </c>
      <c r="J63" s="18"/>
    </row>
    <row r="64" spans="1:10" x14ac:dyDescent="0.3">
      <c r="A64" s="2" t="s">
        <v>129</v>
      </c>
      <c r="B64" s="2" t="s">
        <v>127</v>
      </c>
      <c r="C64" s="2" t="s">
        <v>130</v>
      </c>
      <c r="D64" s="14" t="s">
        <v>1</v>
      </c>
      <c r="E64" s="21">
        <v>999923</v>
      </c>
      <c r="F64" s="21" t="s">
        <v>54</v>
      </c>
      <c r="G64" s="21">
        <v>5</v>
      </c>
      <c r="H64" s="21" t="s">
        <v>8</v>
      </c>
      <c r="I64" s="18">
        <f>VLOOKUP(I$2&amp;$E64, 'Data for Analysis'!$A:$P,16,0)</f>
        <v>3</v>
      </c>
      <c r="J64" s="18"/>
    </row>
    <row r="65" spans="1:10" x14ac:dyDescent="0.3">
      <c r="A65" s="2" t="s">
        <v>130</v>
      </c>
      <c r="B65" s="2" t="s">
        <v>127</v>
      </c>
      <c r="C65" s="2" t="s">
        <v>130</v>
      </c>
      <c r="D65" s="14" t="s">
        <v>6</v>
      </c>
      <c r="E65" s="21">
        <v>108009</v>
      </c>
      <c r="F65" s="21" t="s">
        <v>55</v>
      </c>
      <c r="G65" s="21">
        <v>3</v>
      </c>
      <c r="H65" s="21" t="s">
        <v>9</v>
      </c>
      <c r="I65" s="18">
        <f>VLOOKUP(I$2&amp;$E65, 'Data for Analysis'!$A:$P,16,0)</f>
        <v>5</v>
      </c>
      <c r="J65" s="18"/>
    </row>
  </sheetData>
  <autoFilter ref="A20:I65" xr:uid="{1AF4054B-E989-400E-B867-832759504183}"/>
  <dataConsolidate/>
  <mergeCells count="13">
    <mergeCell ref="L12:M12"/>
    <mergeCell ref="F2:G3"/>
    <mergeCell ref="L1:P1"/>
    <mergeCell ref="L4:P4"/>
    <mergeCell ref="L5:M5"/>
    <mergeCell ref="L11:M11"/>
    <mergeCell ref="O5:P5"/>
    <mergeCell ref="O6:P6"/>
    <mergeCell ref="L6:M6"/>
    <mergeCell ref="L7:M7"/>
    <mergeCell ref="L8:M8"/>
    <mergeCell ref="L9:M9"/>
    <mergeCell ref="L10:M10"/>
  </mergeCells>
  <conditionalFormatting sqref="I5:J6">
    <cfRule type="cellIs" dxfId="19" priority="6" operator="greaterThan">
      <formula>4.24999</formula>
    </cfRule>
    <cfRule type="cellIs" dxfId="18" priority="7" operator="greaterThan">
      <formula>3.749999</formula>
    </cfRule>
    <cfRule type="cellIs" dxfId="17" priority="8" operator="greaterThan">
      <formula>3.24999</formula>
    </cfRule>
    <cfRule type="cellIs" dxfId="16" priority="9" operator="greaterThan">
      <formula>2.74999</formula>
    </cfRule>
    <cfRule type="cellIs" dxfId="15" priority="10" operator="greaterThan">
      <formula>2.24999</formula>
    </cfRule>
  </conditionalFormatting>
  <conditionalFormatting sqref="I8:J8">
    <cfRule type="cellIs" dxfId="14" priority="136" operator="greaterThan">
      <formula>4.24999</formula>
    </cfRule>
    <cfRule type="cellIs" dxfId="13" priority="137" operator="greaterThan">
      <formula>3.749999</formula>
    </cfRule>
    <cfRule type="cellIs" dxfId="12" priority="138" operator="greaterThan">
      <formula>3.24999</formula>
    </cfRule>
    <cfRule type="cellIs" dxfId="11" priority="139" operator="greaterThan">
      <formula>2.74999</formula>
    </cfRule>
    <cfRule type="cellIs" dxfId="10" priority="140" operator="greaterThan">
      <formula>2.24999</formula>
    </cfRule>
  </conditionalFormatting>
  <conditionalFormatting sqref="I10:J19">
    <cfRule type="cellIs" dxfId="9" priority="1" operator="greaterThan">
      <formula>4.24999</formula>
    </cfRule>
    <cfRule type="cellIs" dxfId="8" priority="2" operator="greaterThan">
      <formula>3.749999</formula>
    </cfRule>
    <cfRule type="cellIs" dxfId="7" priority="3" operator="greaterThan">
      <formula>3.24999</formula>
    </cfRule>
    <cfRule type="cellIs" dxfId="6" priority="4" operator="greaterThan">
      <formula>2.74999</formula>
    </cfRule>
    <cfRule type="cellIs" dxfId="5" priority="5" operator="greaterThan">
      <formula>2.24999</formula>
    </cfRule>
  </conditionalFormatting>
  <conditionalFormatting sqref="I21:J65">
    <cfRule type="cellIs" dxfId="4" priority="11" operator="equal">
      <formula>5</formula>
    </cfRule>
    <cfRule type="cellIs" dxfId="3" priority="12" operator="equal">
      <formula>4</formula>
    </cfRule>
    <cfRule type="cellIs" dxfId="2" priority="13" operator="equal">
      <formula>3</formula>
    </cfRule>
    <cfRule type="cellIs" dxfId="1" priority="14" operator="equal">
      <formula>2</formula>
    </cfRule>
    <cfRule type="cellIs" dxfId="0" priority="15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8A8F-69F3-4E4D-829A-3FFB83C2B7A6}">
  <dimension ref="A1:I2"/>
  <sheetViews>
    <sheetView showGridLines="0" workbookViewId="0">
      <selection activeCell="I2" sqref="I2"/>
    </sheetView>
  </sheetViews>
  <sheetFormatPr defaultRowHeight="14.5" x14ac:dyDescent="0.35"/>
  <cols>
    <col min="2" max="3" width="10.1796875" bestFit="1" customWidth="1"/>
    <col min="9" max="9" width="9.90625" bestFit="1" customWidth="1"/>
  </cols>
  <sheetData>
    <row r="1" spans="1:9" x14ac:dyDescent="0.35">
      <c r="A1" s="37" t="s">
        <v>69</v>
      </c>
      <c r="B1" s="37" t="s">
        <v>149</v>
      </c>
      <c r="C1" s="37" t="s">
        <v>220</v>
      </c>
      <c r="D1" s="37" t="s">
        <v>221</v>
      </c>
      <c r="E1" s="37" t="s">
        <v>222</v>
      </c>
      <c r="F1" s="37" t="s">
        <v>223</v>
      </c>
      <c r="G1" s="37" t="s">
        <v>224</v>
      </c>
      <c r="H1" s="37" t="s">
        <v>172</v>
      </c>
      <c r="I1" s="37" t="s">
        <v>148</v>
      </c>
    </row>
    <row r="2" spans="1:9" x14ac:dyDescent="0.35">
      <c r="A2" s="34" t="s">
        <v>123</v>
      </c>
      <c r="B2" s="38">
        <f>'Stars Calculator'!I4</f>
        <v>50000</v>
      </c>
      <c r="C2" s="38">
        <v>25000</v>
      </c>
      <c r="D2" s="34">
        <f>C2/B2</f>
        <v>0.5</v>
      </c>
      <c r="E2" s="34">
        <f>IF(D2&gt;0.440345,0.4,IF(D2&gt;0.231241,0.2,0))</f>
        <v>0.4</v>
      </c>
      <c r="F2" s="34">
        <f>SUM('Data for Analysis'!AE2:AE47)</f>
        <v>16</v>
      </c>
      <c r="G2" s="34">
        <f>SUM('Data for Analysis'!AF2:AF47)</f>
        <v>40</v>
      </c>
      <c r="H2" s="35">
        <f>F2/G2</f>
        <v>0.4</v>
      </c>
      <c r="I2" s="36">
        <f>H2*E2</f>
        <v>0.16000000000000003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1BEE-7B52-4149-BAE3-988B3BE3214C}">
  <sheetPr>
    <tabColor rgb="FFFFFF00"/>
  </sheetPr>
  <dimension ref="A1:C30"/>
  <sheetViews>
    <sheetView showGridLines="0" workbookViewId="0">
      <selection activeCell="E3" sqref="E3"/>
    </sheetView>
  </sheetViews>
  <sheetFormatPr defaultRowHeight="14.5" x14ac:dyDescent="0.35"/>
  <cols>
    <col min="1" max="1" width="10.08984375" style="1" bestFit="1" customWidth="1"/>
    <col min="2" max="2" width="84.7265625" style="1" bestFit="1" customWidth="1"/>
    <col min="3" max="3" width="8.7265625" style="1"/>
  </cols>
  <sheetData>
    <row r="1" spans="1:3" x14ac:dyDescent="0.35">
      <c r="A1" s="6" t="s">
        <v>56</v>
      </c>
      <c r="B1" s="6" t="s">
        <v>57</v>
      </c>
      <c r="C1" s="6" t="s">
        <v>143</v>
      </c>
    </row>
    <row r="2" spans="1:3" x14ac:dyDescent="0.35">
      <c r="A2" s="2">
        <v>101803</v>
      </c>
      <c r="B2" s="2" t="s">
        <v>85</v>
      </c>
      <c r="C2" s="2">
        <v>30</v>
      </c>
    </row>
    <row r="3" spans="1:3" x14ac:dyDescent="0.35">
      <c r="A3" s="2">
        <v>104201</v>
      </c>
      <c r="B3" s="2" t="s">
        <v>81</v>
      </c>
      <c r="C3" s="2">
        <v>30</v>
      </c>
    </row>
    <row r="4" spans="1:3" x14ac:dyDescent="0.35">
      <c r="A4" s="2">
        <v>107125</v>
      </c>
      <c r="B4" s="2" t="s">
        <v>79</v>
      </c>
      <c r="C4" s="2">
        <v>30</v>
      </c>
    </row>
    <row r="5" spans="1:3" x14ac:dyDescent="0.35">
      <c r="A5" s="2">
        <v>107127</v>
      </c>
      <c r="B5" s="2" t="s">
        <v>80</v>
      </c>
      <c r="C5" s="2">
        <v>30</v>
      </c>
    </row>
    <row r="6" spans="1:3" x14ac:dyDescent="0.35">
      <c r="A6" s="2">
        <v>201507</v>
      </c>
      <c r="B6" s="2" t="s">
        <v>90</v>
      </c>
      <c r="C6" s="2">
        <v>30</v>
      </c>
    </row>
    <row r="7" spans="1:3" x14ac:dyDescent="0.35">
      <c r="A7" s="2">
        <v>600070</v>
      </c>
      <c r="B7" s="2" t="s">
        <v>88</v>
      </c>
      <c r="C7" s="2">
        <v>30</v>
      </c>
    </row>
    <row r="8" spans="1:3" x14ac:dyDescent="0.35">
      <c r="A8" s="2">
        <v>600094</v>
      </c>
      <c r="B8" s="2" t="s">
        <v>92</v>
      </c>
      <c r="C8" s="2">
        <v>30</v>
      </c>
    </row>
    <row r="9" spans="1:3" x14ac:dyDescent="0.35">
      <c r="A9" s="2">
        <v>600452</v>
      </c>
      <c r="B9" s="2" t="s">
        <v>73</v>
      </c>
      <c r="C9" s="2">
        <v>30</v>
      </c>
    </row>
    <row r="10" spans="1:3" x14ac:dyDescent="0.35">
      <c r="A10" s="2">
        <v>600484</v>
      </c>
      <c r="B10" s="2" t="s">
        <v>84</v>
      </c>
      <c r="C10" s="2">
        <v>30</v>
      </c>
    </row>
    <row r="11" spans="1:3" x14ac:dyDescent="0.35">
      <c r="A11" s="2">
        <v>900793</v>
      </c>
      <c r="B11" s="2" t="s">
        <v>82</v>
      </c>
      <c r="C11" s="2">
        <v>30</v>
      </c>
    </row>
    <row r="12" spans="1:3" x14ac:dyDescent="0.35">
      <c r="A12" s="2">
        <v>909230</v>
      </c>
      <c r="B12" s="2" t="s">
        <v>72</v>
      </c>
      <c r="C12" s="2">
        <v>30</v>
      </c>
    </row>
    <row r="13" spans="1:3" x14ac:dyDescent="0.35">
      <c r="A13" s="2">
        <v>999600</v>
      </c>
      <c r="B13" s="2" t="s">
        <v>91</v>
      </c>
      <c r="C13" s="2">
        <v>30</v>
      </c>
    </row>
    <row r="14" spans="1:3" x14ac:dyDescent="0.35">
      <c r="A14" s="2">
        <v>999998</v>
      </c>
      <c r="B14" s="2" t="s">
        <v>83</v>
      </c>
      <c r="C14" s="2">
        <v>30</v>
      </c>
    </row>
    <row r="15" spans="1:3" x14ac:dyDescent="0.35">
      <c r="A15" s="2">
        <v>999806</v>
      </c>
      <c r="B15" s="2" t="s">
        <v>106</v>
      </c>
      <c r="C15" s="2">
        <v>800</v>
      </c>
    </row>
    <row r="16" spans="1:3" x14ac:dyDescent="0.35">
      <c r="A16" s="2">
        <v>999808</v>
      </c>
      <c r="B16" s="2" t="s">
        <v>107</v>
      </c>
      <c r="C16" s="2">
        <v>1000</v>
      </c>
    </row>
    <row r="17" spans="1:3" x14ac:dyDescent="0.35">
      <c r="A17" s="2">
        <v>999916</v>
      </c>
      <c r="B17" s="2" t="s">
        <v>99</v>
      </c>
      <c r="C17" s="2">
        <v>800</v>
      </c>
    </row>
    <row r="18" spans="1:3" x14ac:dyDescent="0.35">
      <c r="A18" s="2">
        <v>999918</v>
      </c>
      <c r="B18" s="2" t="s">
        <v>100</v>
      </c>
      <c r="C18" s="2">
        <v>1000</v>
      </c>
    </row>
    <row r="19" spans="1:3" x14ac:dyDescent="0.35">
      <c r="A19" s="2">
        <v>999919</v>
      </c>
      <c r="B19" s="2" t="s">
        <v>102</v>
      </c>
      <c r="C19" s="2">
        <v>11</v>
      </c>
    </row>
    <row r="20" spans="1:3" x14ac:dyDescent="0.35">
      <c r="A20" s="2">
        <v>999920</v>
      </c>
      <c r="B20" s="2" t="s">
        <v>103</v>
      </c>
      <c r="C20" s="2">
        <v>11</v>
      </c>
    </row>
    <row r="21" spans="1:3" x14ac:dyDescent="0.35">
      <c r="A21" s="2">
        <v>999925</v>
      </c>
      <c r="B21" s="2" t="s">
        <v>78</v>
      </c>
      <c r="C21" s="2">
        <v>30</v>
      </c>
    </row>
    <row r="22" spans="1:3" x14ac:dyDescent="0.35">
      <c r="A22" s="2">
        <v>201180</v>
      </c>
      <c r="B22" s="2" t="s">
        <v>114</v>
      </c>
      <c r="C22" s="2">
        <v>30</v>
      </c>
    </row>
    <row r="23" spans="1:3" x14ac:dyDescent="0.35">
      <c r="A23" s="2">
        <v>201181</v>
      </c>
      <c r="B23" s="2" t="s">
        <v>113</v>
      </c>
      <c r="C23" s="2">
        <v>30</v>
      </c>
    </row>
    <row r="24" spans="1:3" x14ac:dyDescent="0.35">
      <c r="A24" s="2">
        <v>201182</v>
      </c>
      <c r="B24" s="2" t="s">
        <v>112</v>
      </c>
      <c r="C24" s="2">
        <v>30</v>
      </c>
    </row>
    <row r="25" spans="1:3" x14ac:dyDescent="0.35">
      <c r="A25" s="2">
        <v>201183</v>
      </c>
      <c r="B25" s="2" t="s">
        <v>115</v>
      </c>
      <c r="C25" s="2">
        <v>30</v>
      </c>
    </row>
    <row r="26" spans="1:3" x14ac:dyDescent="0.35">
      <c r="A26" s="2">
        <v>201185</v>
      </c>
      <c r="B26" s="2" t="s">
        <v>51</v>
      </c>
      <c r="C26" s="2">
        <v>30</v>
      </c>
    </row>
    <row r="27" spans="1:3" x14ac:dyDescent="0.35">
      <c r="A27" s="2">
        <v>201187</v>
      </c>
      <c r="B27" s="2" t="s">
        <v>52</v>
      </c>
      <c r="C27" s="2">
        <v>30</v>
      </c>
    </row>
    <row r="28" spans="1:3" x14ac:dyDescent="0.35">
      <c r="A28" s="2">
        <v>999813</v>
      </c>
      <c r="B28" s="2" t="s">
        <v>108</v>
      </c>
      <c r="C28" s="2"/>
    </row>
    <row r="29" spans="1:3" x14ac:dyDescent="0.35">
      <c r="A29" s="2">
        <v>999923</v>
      </c>
      <c r="B29" s="2" t="s">
        <v>101</v>
      </c>
      <c r="C29" s="2"/>
    </row>
    <row r="30" spans="1:3" x14ac:dyDescent="0.35">
      <c r="A30" s="2">
        <v>108009</v>
      </c>
      <c r="B30" s="2" t="s">
        <v>89</v>
      </c>
      <c r="C30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CutPoints</vt:lpstr>
      <vt:lpstr>Data for Analysis</vt:lpstr>
      <vt:lpstr>Synthetic</vt:lpstr>
      <vt:lpstr>Sheet1</vt:lpstr>
      <vt:lpstr>Stars Calculator</vt:lpstr>
      <vt:lpstr>HEI Calculation</vt:lpstr>
      <vt:lpstr>Thresholds</vt:lpstr>
    </vt:vector>
  </TitlesOfParts>
  <Company>EXL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 Saxena</dc:creator>
  <cp:lastModifiedBy>Vipin Choudhary</cp:lastModifiedBy>
  <dcterms:created xsi:type="dcterms:W3CDTF">2025-10-23T03:07:00Z</dcterms:created>
  <dcterms:modified xsi:type="dcterms:W3CDTF">2025-10-28T17:06:19Z</dcterms:modified>
</cp:coreProperties>
</file>